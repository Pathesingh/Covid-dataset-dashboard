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d.docs.live.net/370b1bc6fe8a1b4d/Desktop/"/>
    </mc:Choice>
  </mc:AlternateContent>
  <xr:revisionPtr revIDLastSave="0" documentId="14_{9A4C2BF3-836E-44BF-B837-3A76F8B2263A}" xr6:coauthVersionLast="47" xr6:coauthVersionMax="47" xr10:uidLastSave="{00000000-0000-0000-0000-000000000000}"/>
  <bookViews>
    <workbookView xWindow="-108" yWindow="-108" windowWidth="23256" windowHeight="13176" xr2:uid="{00000000-000D-0000-FFFF-FFFF00000000}"/>
  </bookViews>
  <sheets>
    <sheet name="Sheet" sheetId="1" r:id="rId1"/>
    <sheet name="PIVOT TABLES" sheetId="3" r:id="rId2"/>
    <sheet name="DASHBOARD" sheetId="4" r:id="rId3"/>
  </sheets>
  <definedNames>
    <definedName name="Slicer_Months__Admission_Date">#N/A</definedName>
  </definedNames>
  <calcPr calcId="191029"/>
  <pivotCaches>
    <pivotCache cacheId="1"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<sst xmlns="http://schemas.openxmlformats.org/spreadsheetml/2006/main" count="183" uniqueCount="75">
  <si>
    <t>Patient ID</t>
  </si>
  <si>
    <t>Age</t>
  </si>
  <si>
    <t>Admission Date</t>
  </si>
  <si>
    <t>Discharge Date</t>
  </si>
  <si>
    <t>Oxygen Level</t>
  </si>
  <si>
    <t>Medical Cost</t>
  </si>
  <si>
    <t>City</t>
  </si>
  <si>
    <t>COVID Test Result</t>
  </si>
  <si>
    <t>Patient 2</t>
  </si>
  <si>
    <t>Patient 3</t>
  </si>
  <si>
    <t>Patient 4</t>
  </si>
  <si>
    <t>Patient 5</t>
  </si>
  <si>
    <t xml:space="preserve">  Patient 6  </t>
  </si>
  <si>
    <t>Patient 7</t>
  </si>
  <si>
    <t>Patient 8</t>
  </si>
  <si>
    <t>Patient 9</t>
  </si>
  <si>
    <t>Patient 10</t>
  </si>
  <si>
    <t xml:space="preserve">  Patient 11  </t>
  </si>
  <si>
    <t>Patient 12</t>
  </si>
  <si>
    <t>Patient 13</t>
  </si>
  <si>
    <t>Patient 14</t>
  </si>
  <si>
    <t>Patient 15</t>
  </si>
  <si>
    <t xml:space="preserve">  Patient 16  </t>
  </si>
  <si>
    <t>Patient 17</t>
  </si>
  <si>
    <t>Patient 18</t>
  </si>
  <si>
    <t>Patient 19</t>
  </si>
  <si>
    <t>Patient 20</t>
  </si>
  <si>
    <t xml:space="preserve">  Patient 21  </t>
  </si>
  <si>
    <t>Patient 22</t>
  </si>
  <si>
    <t>Patient 23</t>
  </si>
  <si>
    <t>Patient 24</t>
  </si>
  <si>
    <t>Patient 25</t>
  </si>
  <si>
    <t xml:space="preserve">  Patient 26  </t>
  </si>
  <si>
    <t>Patient 27</t>
  </si>
  <si>
    <t>Patient 28</t>
  </si>
  <si>
    <t>Patient 29</t>
  </si>
  <si>
    <t>Patient 30</t>
  </si>
  <si>
    <t xml:space="preserve">  Patient 31  </t>
  </si>
  <si>
    <t>Patient 32</t>
  </si>
  <si>
    <t>Patient 33</t>
  </si>
  <si>
    <t>Patient 34</t>
  </si>
  <si>
    <t>Patient 35</t>
  </si>
  <si>
    <t xml:space="preserve">  Patient 36  </t>
  </si>
  <si>
    <t>Patient 37</t>
  </si>
  <si>
    <t>Patient 38</t>
  </si>
  <si>
    <t>Patient 39</t>
  </si>
  <si>
    <t>Patient 40</t>
  </si>
  <si>
    <t xml:space="preserve">  Patient 41  </t>
  </si>
  <si>
    <t>Patient 42</t>
  </si>
  <si>
    <t>Patient 43</t>
  </si>
  <si>
    <t>Patient 44</t>
  </si>
  <si>
    <t>Patient 45</t>
  </si>
  <si>
    <t xml:space="preserve">  Patient 46  </t>
  </si>
  <si>
    <t>Patient 47</t>
  </si>
  <si>
    <t>Patient 48</t>
  </si>
  <si>
    <t>Patient 49</t>
  </si>
  <si>
    <t>Patient 50</t>
  </si>
  <si>
    <t>Chicago</t>
  </si>
  <si>
    <t>New York</t>
  </si>
  <si>
    <t>Los Angeles</t>
  </si>
  <si>
    <t>Miami</t>
  </si>
  <si>
    <t>Houston</t>
  </si>
  <si>
    <t>Positive</t>
  </si>
  <si>
    <t>Negative</t>
  </si>
  <si>
    <t>Patient 1</t>
  </si>
  <si>
    <t xml:space="preserve">Patient Name </t>
  </si>
  <si>
    <t>Row Labels</t>
  </si>
  <si>
    <t>Grand Total</t>
  </si>
  <si>
    <t>Sum of Age</t>
  </si>
  <si>
    <t>Sum of Patient ID</t>
  </si>
  <si>
    <t>Sum of Medical Cost</t>
  </si>
  <si>
    <t>Column Labels</t>
  </si>
  <si>
    <t>Count of COVID Test Result</t>
  </si>
  <si>
    <t>Sum of Oxygen Level</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</si>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</sst>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[covid_dataset PROJECT.xlsx]PIVOT TABLES!PivotTable2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ID</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492693788952191E-2"/>
          <c:y val="0.14247850953524577"/>
          <c:w val="0.95885207771926317"/>
          <c:h val="0.78025626690422512"/>
        </c:manualLayout>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TABLES'!$A$4:$A$13</c:f>
              <c:strCache>
                <c:ptCount val="9"/>
                <c:pt idx="0">
                  <c:v>1</c:v>
                </c:pt>
                <c:pt idx="1">
                  <c:v>10</c:v>
                </c:pt>
                <c:pt idx="2">
                  <c:v>15</c:v>
                </c:pt>
                <c:pt idx="3">
                  <c:v>18</c:v>
                </c:pt>
                <c:pt idx="4">
                  <c:v>34</c:v>
                </c:pt>
                <c:pt idx="5">
                  <c:v>36</c:v>
                </c:pt>
                <c:pt idx="6">
                  <c:v>42</c:v>
                </c:pt>
                <c:pt idx="7">
                  <c:v>47</c:v>
                </c:pt>
                <c:pt idx="8">
                  <c:v>49</c:v>
                </c:pt>
              </c:strCache>
            </c:strRef>
          </c:cat>
          <c:val>
            <c:numRef>
              <c:f>'PIVOT TABLES'!$B$4:$B$13</c:f>
              <c:numCache>
                <c:formatCode>General</c:formatCode>
                <c:ptCount val="9"/>
                <c:pt idx="0">
                  <c:v>27</c:v>
                </c:pt>
                <c:pt idx="1">
                  <c:v>33</c:v>
                </c:pt>
                <c:pt idx="2">
                  <c:v>58</c:v>
                </c:pt>
                <c:pt idx="3">
                  <c:v>85</c:v>
                </c:pt>
                <c:pt idx="4">
                  <c:v>34</c:v>
                </c:pt>
                <c:pt idx="5">
                  <c:v>58</c:v>
                </c:pt>
                <c:pt idx="6">
                  <c:v>86</c:v>
                </c:pt>
                <c:pt idx="7">
                  <c:v>33</c:v>
                </c:pt>
                <c:pt idx="8">
                  <c:v>40</c:v>
                </c:pt>
              </c:numCache>
            </c:numRef>
          </c:val>
          <c:extLst>
            <c:ext xmlns:c16="http://schemas.microsoft.com/office/drawing/2014/chart" uri="{C3380CC4-5D6E-409C-BE32-E72D297353CC}">
              <c16:uniqueId val="{00000000-3A42-4D4D-AFD0-2EF16204C56A}"/>
            </c:ext>
          </c:extLst>
        </c:ser>
        <c:dLbls>
          <c:dLblPos val="outEnd"/>
          <c:showLegendKey val="0"/>
          <c:showVal val="1"/>
          <c:showCatName val="0"/>
          <c:showSerName val="0"/>
          <c:showPercent val="0"/>
          <c:showBubbleSize val="0"/>
        </c:dLbls>
        <c:gapWidth val="219"/>
        <c:overlap val="-27"/>
        <c:axId val="571864992"/>
        <c:axId val="571851552"/>
      </c:barChart>
      <c:catAx>
        <c:axId val="571864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851552"/>
        <c:crosses val="autoZero"/>
        <c:auto val="1"/>
        <c:lblAlgn val="ctr"/>
        <c:lblOffset val="100"/>
        <c:noMultiLvlLbl val="0"/>
      </c:catAx>
      <c:valAx>
        <c:axId val="5718515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86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[covid_dataset PROJECT.xlsx]PIVOT 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ID</a:t>
            </a:r>
            <a:r>
              <a:rPr lang="en-US" baseline="0"/>
              <a:t> BY MEDICAL COST</a:t>
            </a:r>
          </a:p>
        </c:rich>
      </c:tx>
      <c:layout>
        <c:manualLayout>
          <c:xMode val="edge"/>
          <c:yMode val="edge"/>
          <c:x val="0.39094849307029489"/>
          <c:y val="1.85620885418931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181715197527381E-2"/>
          <c:y val="8.1226290685919508E-2"/>
          <c:w val="0.96694793691817293"/>
          <c:h val="0.83166062707137012"/>
        </c:manualLayout>
      </c:layout>
      <c:barChart>
        <c:barDir val="col"/>
        <c:grouping val="clustered"/>
        <c:varyColors val="0"/>
        <c:ser>
          <c:idx val="0"/>
          <c:order val="0"/>
          <c:tx>
            <c:strRef>
              <c:f>'PIVOT TABLES'!$E$3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TABLES'!$D$4:$D$13</c:f>
              <c:strCache>
                <c:ptCount val="9"/>
                <c:pt idx="0">
                  <c:v>1</c:v>
                </c:pt>
                <c:pt idx="1">
                  <c:v>10</c:v>
                </c:pt>
                <c:pt idx="2">
                  <c:v>15</c:v>
                </c:pt>
                <c:pt idx="3">
                  <c:v>18</c:v>
                </c:pt>
                <c:pt idx="4">
                  <c:v>34</c:v>
                </c:pt>
                <c:pt idx="5">
                  <c:v>36</c:v>
                </c:pt>
                <c:pt idx="6">
                  <c:v>42</c:v>
                </c:pt>
                <c:pt idx="7">
                  <c:v>47</c:v>
                </c:pt>
                <c:pt idx="8">
                  <c:v>49</c:v>
                </c:pt>
              </c:strCache>
            </c:strRef>
          </c:cat>
          <c:val>
            <c:numRef>
              <c:f>'PIVOT TABLES'!$E$4:$E$13</c:f>
              <c:numCache>
                <c:formatCode>General</c:formatCode>
                <c:ptCount val="9"/>
                <c:pt idx="0">
                  <c:v>14210</c:v>
                </c:pt>
                <c:pt idx="1">
                  <c:v>7750</c:v>
                </c:pt>
                <c:pt idx="2">
                  <c:v>14528</c:v>
                </c:pt>
                <c:pt idx="3">
                  <c:v>5226</c:v>
                </c:pt>
                <c:pt idx="4">
                  <c:v>37470</c:v>
                </c:pt>
                <c:pt idx="5">
                  <c:v>6643</c:v>
                </c:pt>
                <c:pt idx="6">
                  <c:v>39078</c:v>
                </c:pt>
                <c:pt idx="7">
                  <c:v>28849</c:v>
                </c:pt>
                <c:pt idx="8">
                  <c:v>38470</c:v>
                </c:pt>
              </c:numCache>
            </c:numRef>
          </c:val>
          <c:extLst>
            <c:ext xmlns:c16="http://schemas.microsoft.com/office/drawing/2014/chart" uri="{C3380CC4-5D6E-409C-BE32-E72D297353CC}">
              <c16:uniqueId val="{00000000-09E9-4A81-AD71-9A6AE3FA6AA1}"/>
            </c:ext>
          </c:extLst>
        </c:ser>
        <c:dLbls>
          <c:dLblPos val="outEnd"/>
          <c:showLegendKey val="0"/>
          <c:showVal val="1"/>
          <c:showCatName val="0"/>
          <c:showSerName val="0"/>
          <c:showPercent val="0"/>
          <c:showBubbleSize val="0"/>
        </c:dLbls>
        <c:gapWidth val="219"/>
        <c:overlap val="-27"/>
        <c:axId val="571822752"/>
        <c:axId val="365874304"/>
      </c:barChart>
      <c:catAx>
        <c:axId val="571822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74304"/>
        <c:crosses val="autoZero"/>
        <c:auto val="1"/>
        <c:lblAlgn val="ctr"/>
        <c:lblOffset val="100"/>
        <c:noMultiLvlLbl val="0"/>
      </c:catAx>
      <c:valAx>
        <c:axId val="3658743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822752"/>
        <c:crosses val="autoZero"/>
        <c:crossBetween val="between"/>
      </c:valAx>
      <c:spPr>
        <a:solidFill>
          <a:schemeClr val="bg1"/>
        </a:soli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[covid_dataset PROJECT.xlsx]PIVOT TABLES!PivotTable4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389967950324216E-2"/>
          <c:y val="2.9127357768621857E-2"/>
          <c:w val="0.86034420238394582"/>
          <c:h val="0.88541584393982598"/>
        </c:manualLayout>
      </c:layout>
      <c:barChart>
        <c:barDir val="col"/>
        <c:grouping val="clustered"/>
        <c:varyColors val="0"/>
        <c:ser>
          <c:idx val="0"/>
          <c:order val="0"/>
          <c:tx>
            <c:strRef>
              <c:f>'PIVOT TABLES'!$H$3:$H$4</c:f>
              <c:strCache>
                <c:ptCount val="1"/>
                <c:pt idx="0">
                  <c:v>Chicago</c:v>
                </c:pt>
              </c:strCache>
            </c:strRef>
          </c:tx>
          <c:spPr>
            <a:solidFill>
              <a:schemeClr val="accent1"/>
            </a:solidFill>
            <a:ln>
              <a:noFill/>
            </a:ln>
            <a:effectLst/>
          </c:spPr>
          <c:invertIfNegative val="0"/>
          <c:cat>
            <c:strRef>
              <c:f>'PIVOT TABLES'!$G$5</c:f>
              <c:strCache>
                <c:ptCount val="1"/>
                <c:pt idx="0">
                  <c:v>Total</c:v>
                </c:pt>
              </c:strCache>
            </c:strRef>
          </c:cat>
          <c:val>
            <c:numRef>
              <c:f>'PIVOT TABLES'!$H$5</c:f>
              <c:numCache>
                <c:formatCode>General</c:formatCode>
                <c:ptCount val="1"/>
                <c:pt idx="0">
                  <c:v>94</c:v>
                </c:pt>
              </c:numCache>
            </c:numRef>
          </c:val>
          <c:extLst>
            <c:ext xmlns:c16="http://schemas.microsoft.com/office/drawing/2014/chart" uri="{C3380CC4-5D6E-409C-BE32-E72D297353CC}">
              <c16:uniqueId val="{00000000-D08D-4B9D-B2CA-D2DCAB7B507F}"/>
            </c:ext>
          </c:extLst>
        </c:ser>
        <c:ser>
          <c:idx val="1"/>
          <c:order val="1"/>
          <c:tx>
            <c:strRef>
              <c:f>'PIVOT TABLES'!$I$3:$I$4</c:f>
              <c:strCache>
                <c:ptCount val="1"/>
                <c:pt idx="0">
                  <c:v>Houston</c:v>
                </c:pt>
              </c:strCache>
            </c:strRef>
          </c:tx>
          <c:spPr>
            <a:solidFill>
              <a:schemeClr val="accent2"/>
            </a:solidFill>
            <a:ln>
              <a:noFill/>
            </a:ln>
            <a:effectLst/>
          </c:spPr>
          <c:invertIfNegative val="0"/>
          <c:cat>
            <c:strRef>
              <c:f>'PIVOT TABLES'!$G$5</c:f>
              <c:strCache>
                <c:ptCount val="1"/>
                <c:pt idx="0">
                  <c:v>Total</c:v>
                </c:pt>
              </c:strCache>
            </c:strRef>
          </c:cat>
          <c:val>
            <c:numRef>
              <c:f>'PIVOT TABLES'!$I$5</c:f>
              <c:numCache>
                <c:formatCode>General</c:formatCode>
                <c:ptCount val="1"/>
                <c:pt idx="0">
                  <c:v>18</c:v>
                </c:pt>
              </c:numCache>
            </c:numRef>
          </c:val>
          <c:extLst>
            <c:ext xmlns:c16="http://schemas.microsoft.com/office/drawing/2014/chart" uri="{C3380CC4-5D6E-409C-BE32-E72D297353CC}">
              <c16:uniqueId val="{00000001-AF29-49C9-B17D-768E892B37D0}"/>
            </c:ext>
          </c:extLst>
        </c:ser>
        <c:ser>
          <c:idx val="2"/>
          <c:order val="2"/>
          <c:tx>
            <c:strRef>
              <c:f>'PIVOT TABLES'!$J$3:$J$4</c:f>
              <c:strCache>
                <c:ptCount val="1"/>
                <c:pt idx="0">
                  <c:v>Los Angeles</c:v>
                </c:pt>
              </c:strCache>
            </c:strRef>
          </c:tx>
          <c:spPr>
            <a:solidFill>
              <a:schemeClr val="accent3"/>
            </a:solidFill>
            <a:ln>
              <a:noFill/>
            </a:ln>
            <a:effectLst/>
          </c:spPr>
          <c:invertIfNegative val="0"/>
          <c:cat>
            <c:strRef>
              <c:f>'PIVOT TABLES'!$G$5</c:f>
              <c:strCache>
                <c:ptCount val="1"/>
                <c:pt idx="0">
                  <c:v>Total</c:v>
                </c:pt>
              </c:strCache>
            </c:strRef>
          </c:cat>
          <c:val>
            <c:numRef>
              <c:f>'PIVOT TABLES'!$J$5</c:f>
              <c:numCache>
                <c:formatCode>General</c:formatCode>
                <c:ptCount val="1"/>
                <c:pt idx="0">
                  <c:v>57</c:v>
                </c:pt>
              </c:numCache>
            </c:numRef>
          </c:val>
          <c:extLst>
            <c:ext xmlns:c16="http://schemas.microsoft.com/office/drawing/2014/chart" uri="{C3380CC4-5D6E-409C-BE32-E72D297353CC}">
              <c16:uniqueId val="{00000004-3BCA-441B-A5B3-00BB96188836}"/>
            </c:ext>
          </c:extLst>
        </c:ser>
        <c:ser>
          <c:idx val="3"/>
          <c:order val="3"/>
          <c:tx>
            <c:strRef>
              <c:f>'PIVOT TABLES'!$K$3:$K$4</c:f>
              <c:strCache>
                <c:ptCount val="1"/>
                <c:pt idx="0">
                  <c:v>New York</c:v>
                </c:pt>
              </c:strCache>
            </c:strRef>
          </c:tx>
          <c:spPr>
            <a:solidFill>
              <a:schemeClr val="accent4"/>
            </a:solidFill>
            <a:ln>
              <a:noFill/>
            </a:ln>
            <a:effectLst/>
          </c:spPr>
          <c:invertIfNegative val="0"/>
          <c:cat>
            <c:strRef>
              <c:f>'PIVOT TABLES'!$G$5</c:f>
              <c:strCache>
                <c:ptCount val="1"/>
                <c:pt idx="0">
                  <c:v>Total</c:v>
                </c:pt>
              </c:strCache>
            </c:strRef>
          </c:cat>
          <c:val>
            <c:numRef>
              <c:f>'PIVOT TABLES'!$K$5</c:f>
              <c:numCache>
                <c:formatCode>General</c:formatCode>
                <c:ptCount val="1"/>
                <c:pt idx="0">
                  <c:v>83</c:v>
                </c:pt>
              </c:numCache>
            </c:numRef>
          </c:val>
          <c:extLst>
            <c:ext xmlns:c16="http://schemas.microsoft.com/office/drawing/2014/chart" uri="{C3380CC4-5D6E-409C-BE32-E72D297353CC}">
              <c16:uniqueId val="{00000005-3BCA-441B-A5B3-00BB96188836}"/>
            </c:ext>
          </c:extLst>
        </c:ser>
        <c:dLbls>
          <c:showLegendKey val="0"/>
          <c:showVal val="0"/>
          <c:showCatName val="0"/>
          <c:showSerName val="0"/>
          <c:showPercent val="0"/>
          <c:showBubbleSize val="0"/>
        </c:dLbls>
        <c:gapWidth val="219"/>
        <c:overlap val="-27"/>
        <c:axId val="682374288"/>
        <c:axId val="682376208"/>
      </c:barChart>
      <c:catAx>
        <c:axId val="68237428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r>
                  <a:rPr lang="en-IN" baseline="0"/>
                  <a:t> BY NO. OF PATIENT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82376208"/>
        <c:crosses val="autoZero"/>
        <c:auto val="1"/>
        <c:lblAlgn val="ctr"/>
        <c:lblOffset val="100"/>
        <c:noMultiLvlLbl val="0"/>
      </c:catAx>
      <c:valAx>
        <c:axId val="682376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.OF PATIENTS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37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[covid_dataset PROJECT.xlsx]PIVOT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MEDICAL</a:t>
            </a:r>
            <a:r>
              <a:rPr lang="en-US" baseline="0"/>
              <a:t> COST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manualLayout>
          <c:layoutTarget val="inner"/>
          <c:xMode val="edge"/>
          <c:yMode val="edge"/>
          <c:x val="0.21433162179416748"/>
          <c:y val="0.12986730899241183"/>
          <c:w val="0.53219388386143529"/>
          <c:h val="0.79725847649031079"/>
        </c:manualLayout>
      </c:layout>
      <c:pieChart>
        <c:varyColors val="1"/>
        <c:ser>
          <c:idx val="0"/>
          <c:order val="0"/>
          <c:tx>
            <c:strRef>
              <c:f>'PIVOT TABLES'!$H$9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70-437D-8BCB-EC9656115D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70-437D-8BCB-EC9656115D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70-437D-8BCB-EC9656115D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70-437D-8BCB-EC9656115D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370-437D-8BCB-EC9656115D7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370-437D-8BCB-EC9656115D7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370-437D-8BCB-EC9656115D7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370-437D-8BCB-EC9656115D7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370-437D-8BCB-EC9656115D7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370-437D-8BCB-EC9656115D7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370-437D-8BCB-EC9656115D7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370-437D-8BCB-EC9656115D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TABLES'!$G$10:$G$11</c:f>
              <c:strCache>
                <c:ptCount val="1"/>
                <c:pt idx="0">
                  <c:v>Mar</c:v>
                </c:pt>
              </c:strCache>
            </c:strRef>
          </c:cat>
          <c:val>
            <c:numRef>
              <c:f>'PIVOT TABLES'!$H$10:$H$11</c:f>
              <c:numCache>
                <c:formatCode>General</c:formatCode>
                <c:ptCount val="1"/>
                <c:pt idx="0">
                  <c:v>192224</c:v>
                </c:pt>
              </c:numCache>
            </c:numRef>
          </c:val>
          <c:extLst>
            <c:ext xmlns:c16="http://schemas.microsoft.com/office/drawing/2014/chart" uri="{C3380CC4-5D6E-409C-BE32-E72D297353CC}">
              <c16:uniqueId val="{00000018-B370-437D-8BCB-EC9656115D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[covid_dataset PROJECT.xlsx]PIVOT TABLES!PivotTable20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ID</a:t>
            </a:r>
            <a:r>
              <a:rPr lang="en-IN" baseline="0"/>
              <a:t> BY OXYGEN LEVELS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TABLES'!$L$11</c:f>
              <c:strCache>
                <c:ptCount val="1"/>
                <c:pt idx="0">
                  <c:v>Total</c:v>
                </c:pt>
              </c:strCache>
            </c:strRef>
          </c:tx>
          <c:spPr>
            <a:solidFill>
              <a:schemeClr val="accent2"/>
            </a:solidFill>
            <a:ln>
              <a:noFill/>
            </a:ln>
            <a:effectLst/>
          </c:spPr>
          <c:invertIfNegative val="0"/>
          <c:cat>
            <c:strRef>
              <c:f>'PIVOT TABLES'!$K$12:$K$21</c:f>
              <c:strCache>
                <c:ptCount val="9"/>
                <c:pt idx="0">
                  <c:v>1</c:v>
                </c:pt>
                <c:pt idx="1">
                  <c:v>10</c:v>
                </c:pt>
                <c:pt idx="2">
                  <c:v>15</c:v>
                </c:pt>
                <c:pt idx="3">
                  <c:v>18</c:v>
                </c:pt>
                <c:pt idx="4">
                  <c:v>34</c:v>
                </c:pt>
                <c:pt idx="5">
                  <c:v>36</c:v>
                </c:pt>
                <c:pt idx="6">
                  <c:v>42</c:v>
                </c:pt>
                <c:pt idx="7">
                  <c:v>47</c:v>
                </c:pt>
                <c:pt idx="8">
                  <c:v>49</c:v>
                </c:pt>
              </c:strCache>
            </c:strRef>
          </c:cat>
          <c:val>
            <c:numRef>
              <c:f>'PIVOT TABLES'!$L$12:$L$21</c:f>
              <c:numCache>
                <c:formatCode>General</c:formatCode>
                <c:ptCount val="9"/>
                <c:pt idx="0">
                  <c:v>91</c:v>
                </c:pt>
                <c:pt idx="1">
                  <c:v>86</c:v>
                </c:pt>
                <c:pt idx="2">
                  <c:v>70</c:v>
                </c:pt>
                <c:pt idx="3">
                  <c:v>88</c:v>
                </c:pt>
                <c:pt idx="4">
                  <c:v>96</c:v>
                </c:pt>
                <c:pt idx="5">
                  <c:v>91</c:v>
                </c:pt>
                <c:pt idx="6">
                  <c:v>98</c:v>
                </c:pt>
                <c:pt idx="7">
                  <c:v>87</c:v>
                </c:pt>
                <c:pt idx="8">
                  <c:v>97</c:v>
                </c:pt>
              </c:numCache>
            </c:numRef>
          </c:val>
          <c:extLst>
            <c:ext xmlns:c16="http://schemas.microsoft.com/office/drawing/2014/chart" uri="{C3380CC4-5D6E-409C-BE32-E72D297353CC}">
              <c16:uniqueId val="{00000000-9552-4E41-A371-EA49D8B27DC7}"/>
            </c:ext>
          </c:extLst>
        </c:ser>
        <c:dLbls>
          <c:showLegendKey val="0"/>
          <c:showVal val="0"/>
          <c:showCatName val="0"/>
          <c:showSerName val="0"/>
          <c:showPercent val="0"/>
          <c:showBubbleSize val="0"/>
        </c:dLbls>
        <c:gapWidth val="219"/>
        <c:overlap val="-27"/>
        <c:axId val="2076877023"/>
        <c:axId val="2076879423"/>
      </c:barChart>
      <c:catAx>
        <c:axId val="2076877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PATIENT</a:t>
                </a:r>
                <a:r>
                  <a:rPr lang="en-IN" baseline="0"/>
                  <a:t> IDS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79423"/>
        <c:crosses val="autoZero"/>
        <c:auto val="1"/>
        <c:lblAlgn val="ctr"/>
        <c:lblOffset val="100"/>
        <c:noMultiLvlLbl val="0"/>
      </c:catAx>
      <c:valAx>
        <c:axId val="2076879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OXYGEN</a:t>
                </a:r>
                <a:r>
                  <a:rPr lang="en-IN" baseline="0"/>
                  <a:t> LEVEL</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7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[covid_dataset PROJECT.xlsx]PIVOT TABLES!PivotTable21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a:t>
            </a:r>
            <a:r>
              <a:rPr lang="en-US" baseline="0"/>
              <a:t> RESULT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55961188185743E-2"/>
          <c:y val="5.3311025479212182E-2"/>
          <c:w val="0.9169622568778194"/>
          <c:h val="0.90328372729338713"/>
        </c:manualLayout>
      </c:layout>
      <c:barChart>
        <c:barDir val="bar"/>
        <c:grouping val="clustered"/>
        <c:varyColors val="0"/>
        <c:ser>
          <c:idx val="0"/>
          <c:order val="0"/>
          <c:tx>
            <c:strRef>
              <c:f>'PIVOT TABLES'!$H$25</c:f>
              <c:strCache>
                <c:ptCount val="1"/>
                <c:pt idx="0">
                  <c:v>Total</c:v>
                </c:pt>
              </c:strCache>
            </c:strRef>
          </c:tx>
          <c:spPr>
            <a:solidFill>
              <a:schemeClr val="accent6"/>
            </a:solidFill>
            <a:ln>
              <a:noFill/>
            </a:ln>
            <a:effectLst/>
          </c:spPr>
          <c:invertIfNegative val="0"/>
          <c:cat>
            <c:strRef>
              <c:f>'PIVOT TABLES'!$G$26:$G$27</c:f>
              <c:strCache>
                <c:ptCount val="1"/>
                <c:pt idx="0">
                  <c:v>Mar</c:v>
                </c:pt>
              </c:strCache>
            </c:strRef>
          </c:cat>
          <c:val>
            <c:numRef>
              <c:f>'PIVOT TABLES'!$H$26:$H$27</c:f>
              <c:numCache>
                <c:formatCode>General</c:formatCode>
                <c:ptCount val="1"/>
                <c:pt idx="0">
                  <c:v>9</c:v>
                </c:pt>
              </c:numCache>
            </c:numRef>
          </c:val>
          <c:extLst>
            <c:ext xmlns:c16="http://schemas.microsoft.com/office/drawing/2014/chart" uri="{C3380CC4-5D6E-409C-BE32-E72D297353CC}">
              <c16:uniqueId val="{00000000-27B0-4E56-A4CB-4D339925AAF0}"/>
            </c:ext>
          </c:extLst>
        </c:ser>
        <c:dLbls>
          <c:showLegendKey val="0"/>
          <c:showVal val="0"/>
          <c:showCatName val="0"/>
          <c:showSerName val="0"/>
          <c:showPercent val="0"/>
          <c:showBubbleSize val="0"/>
        </c:dLbls>
        <c:gapWidth val="182"/>
        <c:axId val="1935275263"/>
        <c:axId val="1935273823"/>
      </c:barChart>
      <c:catAx>
        <c:axId val="193527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273823"/>
        <c:crosses val="autoZero"/>
        <c:auto val="1"/>
        <c:lblAlgn val="ctr"/>
        <c:lblOffset val="100"/>
        <c:noMultiLvlLbl val="0"/>
      </c:catAx>
      <c:valAx>
        <c:axId val="1935273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27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96263</xdr:colOff>
      <xdr:row>15</xdr:row>
      <xdr:rowOff>112889</xdr:rowOff>
    </xdr:from>
    <xdr:to>
      <xdr:col>20</xdr:col>
      <xdr:colOff>430696</xdr:colOff>
      <xdr:row>35</xdr:row>
      <xdr:rowOff>95250</xdr:rowOff>
    </xdr:to>
    <xdr:graphicFrame macro="">
      <xdr:nvGraphicFramePr>
        <xdr:cNvPr id="2" name="Chart 1">
          <a:extLst>
            <a:ext uri="{FF2B5EF4-FFF2-40B4-BE49-F238E27FC236}">
              <a16:creationId xmlns:a16="http://schemas.microsoft.com/office/drawing/2014/main" id="{42D31952-45A3-4997-9A31-8D40FA290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68036</xdr:rowOff>
    </xdr:from>
    <xdr:to>
      <xdr:col>22</xdr:col>
      <xdr:colOff>42333</xdr:colOff>
      <xdr:row>67</xdr:row>
      <xdr:rowOff>148168</xdr:rowOff>
    </xdr:to>
    <xdr:graphicFrame macro="">
      <xdr:nvGraphicFramePr>
        <xdr:cNvPr id="3" name="Chart 2">
          <a:extLst>
            <a:ext uri="{FF2B5EF4-FFF2-40B4-BE49-F238E27FC236}">
              <a16:creationId xmlns:a16="http://schemas.microsoft.com/office/drawing/2014/main" id="{39F95BF9-F13E-471F-B215-824EAF32D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452887</xdr:colOff>
      <xdr:row>0</xdr:row>
      <xdr:rowOff>0</xdr:rowOff>
    </xdr:from>
    <xdr:to>
      <xdr:col>15</xdr:col>
      <xdr:colOff>194553</xdr:colOff>
      <xdr:row>15</xdr:row>
      <xdr:rowOff>7188</xdr:rowOff>
    </xdr:to>
    <xdr:graphicFrame macro="">
      <xdr:nvGraphicFramePr>
        <xdr:cNvPr id="4" name="Chart 3">
          <a:extLst>
            <a:ext uri="{FF2B5EF4-FFF2-40B4-BE49-F238E27FC236}">
              <a16:creationId xmlns:a16="http://schemas.microsoft.com/office/drawing/2014/main" id="{B71CBA5B-319A-4F11-9E41-548B1B2A1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476006</xdr:colOff>
      <xdr:row>0</xdr:row>
      <xdr:rowOff>1</xdr:rowOff>
    </xdr:from>
    <xdr:to>
      <xdr:col>20</xdr:col>
      <xdr:colOff>518808</xdr:colOff>
      <xdr:row>15</xdr:row>
      <xdr:rowOff>30480</xdr:rowOff>
    </xdr:to>
    <xdr:graphicFrame macro="">
      <xdr:nvGraphicFramePr>
        <xdr:cNvPr id="5" name="Chart 4">
          <a:extLst>
            <a:ext uri="{FF2B5EF4-FFF2-40B4-BE49-F238E27FC236}">
              <a16:creationId xmlns:a16="http://schemas.microsoft.com/office/drawing/2014/main" id="{44D870BC-C5AB-471F-8C82-CF3A4FE5D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155222</xdr:colOff>
      <xdr:row>35</xdr:row>
      <xdr:rowOff>169333</xdr:rowOff>
    </xdr:from>
    <xdr:to>
      <xdr:col>43</xdr:col>
      <xdr:colOff>224118</xdr:colOff>
      <xdr:row>65</xdr:row>
      <xdr:rowOff>156882</xdr:rowOff>
    </xdr:to>
    <xdr:graphicFrame macro="">
      <xdr:nvGraphicFramePr>
        <xdr:cNvPr id="7" name="Chart 6">
          <a:extLst>
            <a:ext uri="{FF2B5EF4-FFF2-40B4-BE49-F238E27FC236}">
              <a16:creationId xmlns:a16="http://schemas.microsoft.com/office/drawing/2014/main" id="{836C6012-69A9-477A-A4B6-0C86BBF8C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84666</xdr:colOff>
      <xdr:row>0</xdr:row>
      <xdr:rowOff>42333</xdr:rowOff>
    </xdr:from>
    <xdr:to>
      <xdr:col>43</xdr:col>
      <xdr:colOff>508000</xdr:colOff>
      <xdr:row>34</xdr:row>
      <xdr:rowOff>141111</xdr:rowOff>
    </xdr:to>
    <xdr:graphicFrame macro="">
      <xdr:nvGraphicFramePr>
        <xdr:cNvPr id="8" name="Chart 7">
          <a:extLst>
            <a:ext uri="{FF2B5EF4-FFF2-40B4-BE49-F238E27FC236}">
              <a16:creationId xmlns:a16="http://schemas.microsoft.com/office/drawing/2014/main" id="{3BFDE8D4-48D3-4DA9-BD50-55F101D9A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23813</xdr:colOff>
      <xdr:row>0</xdr:row>
      <xdr:rowOff>1</xdr:rowOff>
    </xdr:from>
    <xdr:to>
      <xdr:col>6</xdr:col>
      <xdr:colOff>259404</xdr:colOff>
      <xdr:row>15</xdr:row>
      <xdr:rowOff>573</xdr:rowOff>
    </xdr:to>
    <mc:AlternateContent xmlns:mc="http://schemas.openxmlformats.org/markup-compatibility/2006" xmlns:a14="http://schemas.microsoft.com/office/drawing/2010/main">
      <mc:Choice Requires="a14">
        <xdr:graphicFrame macro="">
          <xdr:nvGraphicFramePr>
            <xdr:cNvPr id="9" name="Months (Admission Date) 2">
              <a:extLst>
                <a:ext uri="{FF2B5EF4-FFF2-40B4-BE49-F238E27FC236}">
                  <a16:creationId xmlns:a16="http://schemas.microsoft.com/office/drawing/2014/main" id="{3BE79919-C0BB-41DD-B402-90DD5335891B}"/>
                </a:ext>
              </a:extLst>
            </xdr:cNvPr>
            <xdr:cNvGraphicFramePr/>
          </xdr:nvGraphicFramePr>
          <xdr:xfrm>
            <a:off x="0" y="0"/>
            <a:ext cx="0" cy="0"/>
          </xdr:xfrm>
          <a:graphic>
            <a:graphicData uri="http://schemas.microsoft.com/office/drawing/2010/slicer">
              <sle:slicer xmlns:sle="http://schemas.microsoft.com/office/drawing/2010/slicer" name="Months (Admission Date) 2"/>
            </a:graphicData>
          </a:graphic>
        </xdr:graphicFrame>
      </mc:Choice>
      <mc:Fallback xmlns="">
        <xdr:sp macro="" textlink="">
          <xdr:nvSpPr>
            <xdr:cNvPr id="0" name=""/>
            <xdr:cNvSpPr>
              <a:spLocks noTextEdit="1"/>
            </xdr:cNvSpPr>
          </xdr:nvSpPr>
          <xdr:spPr>
            <a:xfrm>
              <a:off x="23813" y="1"/>
              <a:ext cx="4783779" cy="2679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LE PATHESINGH" refreshedDate="45783.45108726852" createdVersion="8" refreshedVersion="8" minRefreshableVersion="3" recordCount="50" xr:uid="{D8B89291-8BE9-4F40-91F3-820EEAFCD0AB}">
  <cacheSource type="worksheet">
    <worksheetSource ref="A1:I51" sheet="Sheet"/>
  </cacheSource>
  <cacheFields count="11">
    <cacheField name="Patient ID"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Patient Name " numFmtId="0">
      <sharedItems count="50">
        <s v="Patient 1"/>
        <s v="Patient 2"/>
        <s v="Patient 3"/>
        <s v="Patient 4"/>
        <s v="Patient 5"/>
        <s v="  Patient 6  "/>
        <s v="Patient 7"/>
        <s v="Patient 8"/>
        <s v="Patient 9"/>
        <s v="Patient 10"/>
        <s v="  Patient 11  "/>
        <s v="Patient 12"/>
        <s v="Patient 13"/>
        <s v="Patient 14"/>
        <s v="Patient 15"/>
        <s v="  Patient 16  "/>
        <s v="Patient 17"/>
        <s v="Patient 18"/>
        <s v="Patient 19"/>
        <s v="Patient 20"/>
        <s v="  Patient 21  "/>
        <s v="Patient 22"/>
        <s v="Patient 23"/>
        <s v="Patient 24"/>
        <s v="Patient 25"/>
        <s v="  Patient 26  "/>
        <s v="Patient 27"/>
        <s v="Patient 28"/>
        <s v="Patient 29"/>
        <s v="Patient 30"/>
        <s v="  Patient 31  "/>
        <s v="Patient 32"/>
        <s v="Patient 33"/>
        <s v="Patient 34"/>
        <s v="Patient 35"/>
        <s v="  Patient 36  "/>
        <s v="Patient 37"/>
        <s v="Patient 38"/>
        <s v="Patient 39"/>
        <s v="Patient 40"/>
        <s v="  Patient 41  "/>
        <s v="Patient 42"/>
        <s v="Patient 43"/>
        <s v="Patient 44"/>
        <s v="Patient 45"/>
        <s v="  Patient 46  "/>
        <s v="Patient 47"/>
        <s v="Patient 48"/>
        <s v="Patient 49"/>
        <s v="Patient 50"/>
      </sharedItems>
    </cacheField>
    <cacheField name="Age" numFmtId="0">
      <sharedItems containsSemiMixedTypes="0" containsString="0" containsNumber="1" containsInteger="1" minValue="24" maxValue="89"/>
    </cacheField>
    <cacheField name="Admission Date" numFmtId="164">
      <sharedItems containsSemiMixedTypes="0" containsNonDate="0" containsDate="1" containsString="0" minDate="2024-01-01T00:00:00" maxDate="2024-12-27T00:00:00" count="46">
        <d v="2024-03-19T00:00:00"/>
        <d v="2024-09-21T00:00:00"/>
        <d v="2024-09-02T00:00:00"/>
        <d v="2024-08-20T00:00:00"/>
        <d v="2024-04-23T00:00:00"/>
        <d v="2024-11-13T00:00:00"/>
        <d v="2024-02-02T00:00:00"/>
        <d v="2024-04-22T00:00:00"/>
        <d v="2024-06-26T00:00:00"/>
        <d v="2024-03-07T00:00:00"/>
        <d v="2024-09-13T00:00:00"/>
        <d v="2024-02-21T00:00:00"/>
        <d v="2024-09-16T00:00:00"/>
        <d v="2024-01-20T00:00:00"/>
        <d v="2024-03-04T00:00:00"/>
        <d v="2024-11-05T00:00:00"/>
        <d v="2024-08-04T00:00:00"/>
        <d v="2024-05-13T00:00:00"/>
        <d v="2024-07-25T00:00:00"/>
        <d v="2024-06-09T00:00:00"/>
        <d v="2024-08-07T00:00:00"/>
        <d v="2024-07-13T00:00:00"/>
        <d v="2024-07-27T00:00:00"/>
        <d v="2024-02-05T00:00:00"/>
        <d v="2024-09-12T00:00:00"/>
        <d v="2024-12-05T00:00:00"/>
        <d v="2024-12-26T00:00:00"/>
        <d v="2024-01-11T00:00:00"/>
        <d v="2024-12-07T00:00:00"/>
        <d v="2024-05-24T00:00:00"/>
        <d v="2024-10-12T00:00:00"/>
        <d v="2024-05-25T00:00:00"/>
        <d v="2024-03-21T00:00:00"/>
        <d v="2024-07-15T00:00:00"/>
        <d v="2024-03-11T00:00:00"/>
        <d v="2024-04-21T00:00:00"/>
        <d v="2024-09-27T00:00:00"/>
        <d v="2024-10-27T00:00:00"/>
        <d v="2024-09-06T00:00:00"/>
        <d v="2024-03-10T00:00:00"/>
        <d v="2024-12-13T00:00:00"/>
        <d v="2024-09-04T00:00:00"/>
        <d v="2024-06-24T00:00:00"/>
        <d v="2024-03-05T00:00:00"/>
        <d v="2024-03-08T00:00:00"/>
        <d v="2024-01-01T00:00:00"/>
      </sharedItems>
      <fieldGroup par="10"/>
    </cacheField>
    <cacheField name="Discharge Date" numFmtId="164">
      <sharedItems containsSemiMixedTypes="0" containsNonDate="0" containsDate="1" containsString="0" minDate="2024-01-11T00:00:00" maxDate="2025-01-06T00:00:00"/>
    </cacheField>
    <cacheField name="Oxygen Level" numFmtId="0">
      <sharedItems containsString="0" containsBlank="1" containsNumber="1" containsInteger="1" minValue="70" maxValue="100"/>
    </cacheField>
    <cacheField name="Medical Cost" numFmtId="0">
      <sharedItems containsSemiMixedTypes="0" containsString="0" containsNumber="1" containsInteger="1" minValue="5226" maxValue="49234"/>
    </cacheField>
    <cacheField name="City" numFmtId="0">
      <sharedItems count="5">
        <s v="Chicago"/>
        <s v="New York"/>
        <s v="Los Angeles"/>
        <s v="Miami"/>
        <s v="Houston"/>
      </sharedItems>
    </cacheField>
    <cacheField name="COVID Test Result" numFmtId="0">
      <sharedItems/>
    </cacheField>
    <cacheField name="Days (Admission Date)" numFmtId="0" databaseField="0">
      <fieldGroup base="3">
        <rangePr groupBy="days" startDate="2024-01-01T00:00:00" endDate="2024-12-27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12-2024"/>
        </groupItems>
      </fieldGroup>
    </cacheField>
    <cacheField name="Months (Admission Date)" numFmtId="0" databaseField="0">
      <fieldGroup base="3">
        <rangePr groupBy="months" startDate="2024-01-01T00:00:00" endDate="2024-12-27T00:00:00"/>
        <groupItems count="14">
          <s v="&lt;01-01-2024"/>
          <s v="Jan"/>
          <s v="Feb"/>
          <s v="Mar"/>
          <s v="Apr"/>
          <s v="May"/>
          <s v="Jun"/>
          <s v="Jul"/>
          <s v="Aug"/>
          <s v="Sep"/>
          <s v="Oct"/>
          <s v="Nov"/>
          <s v="Dec"/>
          <s v="&gt;27-12-2024"/>
        </groupItems>
      </fieldGroup>
    </cacheField>
  </cacheFields>
  <extLst>
    <ext xmlns:x14="http://schemas.microsoft.com/office/spreadsheetml/2009/9/main" uri="{725AE2AE-9491-48be-B2B4-4EB974FC3084}">
      <x14:pivotCacheDefinition pivotCacheId="81029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27"/>
    <x v="0"/>
    <d v="2024-03-29T00:00:00"/>
    <n v="91"/>
    <n v="14210"/>
    <x v="0"/>
    <s v="Positive"/>
  </r>
  <r>
    <x v="1"/>
    <x v="1"/>
    <n v="36"/>
    <x v="1"/>
    <d v="2024-09-24T00:00:00"/>
    <n v="83"/>
    <n v="49234"/>
    <x v="0"/>
    <s v="Positive"/>
  </r>
  <r>
    <x v="2"/>
    <x v="2"/>
    <n v="27"/>
    <x v="2"/>
    <d v="2024-09-06T00:00:00"/>
    <n v="92"/>
    <n v="26710"/>
    <x v="1"/>
    <s v="Negative"/>
  </r>
  <r>
    <x v="3"/>
    <x v="3"/>
    <n v="70"/>
    <x v="3"/>
    <d v="2024-08-30T00:00:00"/>
    <n v="72"/>
    <n v="10123"/>
    <x v="0"/>
    <s v="Positive"/>
  </r>
  <r>
    <x v="4"/>
    <x v="4"/>
    <n v="31"/>
    <x v="4"/>
    <d v="2024-04-27T00:00:00"/>
    <n v="71"/>
    <n v="39270"/>
    <x v="1"/>
    <s v="Positive"/>
  </r>
  <r>
    <x v="5"/>
    <x v="5"/>
    <n v="43"/>
    <x v="5"/>
    <d v="2024-11-16T00:00:00"/>
    <n v="79"/>
    <n v="7482"/>
    <x v="2"/>
    <s v="Negative"/>
  </r>
  <r>
    <x v="6"/>
    <x v="6"/>
    <n v="33"/>
    <x v="6"/>
    <d v="2024-02-15T00:00:00"/>
    <n v="91"/>
    <n v="31358"/>
    <x v="2"/>
    <s v="Negative"/>
  </r>
  <r>
    <x v="7"/>
    <x v="7"/>
    <n v="25"/>
    <x v="7"/>
    <d v="2024-04-25T00:00:00"/>
    <n v="92"/>
    <n v="39121"/>
    <x v="0"/>
    <s v="Positive"/>
  </r>
  <r>
    <x v="8"/>
    <x v="8"/>
    <n v="89"/>
    <x v="8"/>
    <d v="2024-07-10T00:00:00"/>
    <n v="93"/>
    <n v="32728"/>
    <x v="0"/>
    <s v="Positive"/>
  </r>
  <r>
    <x v="9"/>
    <x v="9"/>
    <n v="33"/>
    <x v="9"/>
    <d v="2024-03-14T00:00:00"/>
    <n v="86"/>
    <n v="7750"/>
    <x v="2"/>
    <s v="Positive"/>
  </r>
  <r>
    <x v="10"/>
    <x v="10"/>
    <n v="45"/>
    <x v="10"/>
    <d v="2024-09-22T00:00:00"/>
    <n v="74"/>
    <n v="34496"/>
    <x v="3"/>
    <s v="Positive"/>
  </r>
  <r>
    <x v="11"/>
    <x v="11"/>
    <n v="69"/>
    <x v="11"/>
    <d v="2024-03-05T00:00:00"/>
    <n v="94"/>
    <n v="35336"/>
    <x v="2"/>
    <s v="Positive"/>
  </r>
  <r>
    <x v="12"/>
    <x v="12"/>
    <n v="58"/>
    <x v="12"/>
    <d v="2024-09-28T00:00:00"/>
    <n v="79"/>
    <n v="34378"/>
    <x v="3"/>
    <s v="Positive"/>
  </r>
  <r>
    <x v="13"/>
    <x v="13"/>
    <n v="42"/>
    <x v="13"/>
    <d v="2024-02-01T00:00:00"/>
    <n v="72"/>
    <n v="34024"/>
    <x v="4"/>
    <s v="Positive"/>
  </r>
  <r>
    <x v="14"/>
    <x v="14"/>
    <n v="58"/>
    <x v="14"/>
    <d v="2024-03-18T00:00:00"/>
    <n v="70"/>
    <n v="14528"/>
    <x v="0"/>
    <s v="Positive"/>
  </r>
  <r>
    <x v="15"/>
    <x v="15"/>
    <n v="70"/>
    <x v="15"/>
    <d v="2024-11-19T00:00:00"/>
    <n v="74"/>
    <n v="46726"/>
    <x v="2"/>
    <s v="Positive"/>
  </r>
  <r>
    <x v="16"/>
    <x v="16"/>
    <n v="51"/>
    <x v="16"/>
    <d v="2024-08-14T00:00:00"/>
    <n v="79"/>
    <n v="41118"/>
    <x v="1"/>
    <s v="Positive"/>
  </r>
  <r>
    <x v="17"/>
    <x v="17"/>
    <n v="85"/>
    <x v="9"/>
    <d v="2024-03-13T00:00:00"/>
    <n v="88"/>
    <n v="5226"/>
    <x v="4"/>
    <s v="Negative"/>
  </r>
  <r>
    <x v="18"/>
    <x v="18"/>
    <n v="86"/>
    <x v="17"/>
    <d v="2024-05-23T00:00:00"/>
    <n v="96"/>
    <n v="26178"/>
    <x v="3"/>
    <s v="Negative"/>
  </r>
  <r>
    <x v="19"/>
    <x v="19"/>
    <n v="24"/>
    <x v="18"/>
    <d v="2024-08-03T00:00:00"/>
    <n v="93"/>
    <n v="36566"/>
    <x v="2"/>
    <s v="Positive"/>
  </r>
  <r>
    <x v="20"/>
    <x v="20"/>
    <n v="36"/>
    <x v="19"/>
    <d v="2024-06-14T00:00:00"/>
    <n v="80"/>
    <n v="9745"/>
    <x v="0"/>
    <s v="Positive"/>
  </r>
  <r>
    <x v="21"/>
    <x v="21"/>
    <n v="59"/>
    <x v="20"/>
    <d v="2024-08-13T00:00:00"/>
    <n v="89"/>
    <n v="13621"/>
    <x v="0"/>
    <s v="Positive"/>
  </r>
  <r>
    <x v="22"/>
    <x v="22"/>
    <n v="35"/>
    <x v="21"/>
    <d v="2024-07-17T00:00:00"/>
    <n v="96"/>
    <n v="21939"/>
    <x v="2"/>
    <s v="Negative"/>
  </r>
  <r>
    <x v="23"/>
    <x v="23"/>
    <n v="36"/>
    <x v="22"/>
    <d v="2024-08-03T00:00:00"/>
    <n v="96"/>
    <n v="23339"/>
    <x v="3"/>
    <s v="Negative"/>
  </r>
  <r>
    <x v="24"/>
    <x v="24"/>
    <n v="53"/>
    <x v="23"/>
    <d v="2024-02-09T00:00:00"/>
    <m/>
    <n v="19820"/>
    <x v="0"/>
    <s v="Positive"/>
  </r>
  <r>
    <x v="25"/>
    <x v="25"/>
    <n v="64"/>
    <x v="24"/>
    <d v="2024-09-21T00:00:00"/>
    <n v="82"/>
    <n v="32336"/>
    <x v="3"/>
    <s v="Negative"/>
  </r>
  <r>
    <x v="26"/>
    <x v="26"/>
    <n v="46"/>
    <x v="25"/>
    <d v="2024-12-17T00:00:00"/>
    <n v="99"/>
    <n v="48606"/>
    <x v="4"/>
    <s v="Negative"/>
  </r>
  <r>
    <x v="27"/>
    <x v="27"/>
    <n v="80"/>
    <x v="26"/>
    <d v="2025-01-05T00:00:00"/>
    <n v="93"/>
    <n v="47395"/>
    <x v="4"/>
    <s v="Positive"/>
  </r>
  <r>
    <x v="28"/>
    <x v="28"/>
    <n v="89"/>
    <x v="27"/>
    <d v="2024-01-15T00:00:00"/>
    <n v="100"/>
    <n v="13075"/>
    <x v="1"/>
    <s v="Positive"/>
  </r>
  <r>
    <x v="29"/>
    <x v="29"/>
    <n v="83"/>
    <x v="28"/>
    <d v="2024-12-17T00:00:00"/>
    <n v="79"/>
    <n v="47782"/>
    <x v="3"/>
    <s v="Negative"/>
  </r>
  <r>
    <x v="30"/>
    <x v="30"/>
    <n v="75"/>
    <x v="29"/>
    <d v="2024-06-06T00:00:00"/>
    <n v="98"/>
    <n v="18243"/>
    <x v="4"/>
    <s v="Negative"/>
  </r>
  <r>
    <x v="31"/>
    <x v="31"/>
    <n v="37"/>
    <x v="30"/>
    <d v="2024-10-25T00:00:00"/>
    <n v="100"/>
    <n v="44302"/>
    <x v="4"/>
    <s v="Negative"/>
  </r>
  <r>
    <x v="32"/>
    <x v="32"/>
    <n v="69"/>
    <x v="31"/>
    <d v="2024-05-29T00:00:00"/>
    <n v="73"/>
    <n v="40255"/>
    <x v="3"/>
    <s v="Positive"/>
  </r>
  <r>
    <x v="33"/>
    <x v="33"/>
    <n v="34"/>
    <x v="32"/>
    <d v="2024-04-04T00:00:00"/>
    <n v="96"/>
    <n v="37470"/>
    <x v="1"/>
    <s v="Negative"/>
  </r>
  <r>
    <x v="34"/>
    <x v="34"/>
    <n v="41"/>
    <x v="33"/>
    <d v="2024-07-27T00:00:00"/>
    <n v="70"/>
    <n v="23072"/>
    <x v="1"/>
    <s v="Positive"/>
  </r>
  <r>
    <x v="35"/>
    <x v="35"/>
    <n v="58"/>
    <x v="34"/>
    <d v="2024-03-21T00:00:00"/>
    <n v="91"/>
    <n v="6643"/>
    <x v="0"/>
    <s v="Positive"/>
  </r>
  <r>
    <x v="36"/>
    <x v="36"/>
    <n v="80"/>
    <x v="35"/>
    <d v="2024-04-25T00:00:00"/>
    <n v="95"/>
    <n v="33445"/>
    <x v="3"/>
    <s v="Negative"/>
  </r>
  <r>
    <x v="37"/>
    <x v="37"/>
    <n v="78"/>
    <x v="36"/>
    <d v="2024-10-08T00:00:00"/>
    <n v="83"/>
    <n v="7437"/>
    <x v="0"/>
    <s v="Negative"/>
  </r>
  <r>
    <x v="38"/>
    <x v="38"/>
    <n v="84"/>
    <x v="21"/>
    <d v="2024-07-17T00:00:00"/>
    <n v="84"/>
    <n v="11506"/>
    <x v="4"/>
    <s v="Negative"/>
  </r>
  <r>
    <x v="39"/>
    <x v="39"/>
    <n v="63"/>
    <x v="37"/>
    <d v="2024-11-02T00:00:00"/>
    <n v="81"/>
    <n v="35102"/>
    <x v="0"/>
    <s v="Positive"/>
  </r>
  <r>
    <x v="40"/>
    <x v="40"/>
    <n v="89"/>
    <x v="38"/>
    <d v="2024-09-18T00:00:00"/>
    <m/>
    <n v="9030"/>
    <x v="0"/>
    <s v="Negative"/>
  </r>
  <r>
    <x v="41"/>
    <x v="41"/>
    <n v="86"/>
    <x v="39"/>
    <d v="2024-03-17T00:00:00"/>
    <n v="98"/>
    <n v="39078"/>
    <x v="0"/>
    <s v="Positive"/>
  </r>
  <r>
    <x v="42"/>
    <x v="42"/>
    <n v="78"/>
    <x v="8"/>
    <d v="2024-07-01T00:00:00"/>
    <n v="78"/>
    <n v="20256"/>
    <x v="4"/>
    <s v="Negative"/>
  </r>
  <r>
    <x v="43"/>
    <x v="43"/>
    <n v="60"/>
    <x v="40"/>
    <d v="2024-12-25T00:00:00"/>
    <n v="90"/>
    <n v="30241"/>
    <x v="3"/>
    <s v="Negative"/>
  </r>
  <r>
    <x v="44"/>
    <x v="44"/>
    <n v="30"/>
    <x v="41"/>
    <d v="2024-09-07T00:00:00"/>
    <n v="80"/>
    <n v="38078"/>
    <x v="3"/>
    <s v="Negative"/>
  </r>
  <r>
    <x v="45"/>
    <x v="45"/>
    <n v="45"/>
    <x v="42"/>
    <d v="2024-07-04T00:00:00"/>
    <n v="96"/>
    <n v="12730"/>
    <x v="2"/>
    <s v="Negative"/>
  </r>
  <r>
    <x v="46"/>
    <x v="46"/>
    <n v="33"/>
    <x v="43"/>
    <d v="2024-03-08T00:00:00"/>
    <n v="87"/>
    <n v="28849"/>
    <x v="2"/>
    <s v="Positive"/>
  </r>
  <r>
    <x v="47"/>
    <x v="47"/>
    <n v="25"/>
    <x v="11"/>
    <d v="2024-03-05T00:00:00"/>
    <n v="97"/>
    <n v="46520"/>
    <x v="3"/>
    <s v="Positive"/>
  </r>
  <r>
    <x v="48"/>
    <x v="48"/>
    <n v="40"/>
    <x v="44"/>
    <d v="2024-03-18T00:00:00"/>
    <n v="97"/>
    <n v="38470"/>
    <x v="1"/>
    <s v="Negative"/>
  </r>
  <r>
    <x v="49"/>
    <x v="49"/>
    <n v="81"/>
    <x v="45"/>
    <d v="2024-01-11T00:00:00"/>
    <n v="80"/>
    <n v="28668"/>
    <x v="1"/>
    <s v="Posi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BF6ECF-875E-4B0F-986F-42F9B20BD5E9}" name="PivotTable3"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D3:E13" firstHeaderRow="1" firstDataRow="1" firstDataCol="1"/>
  <pivotFields count="11">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10"/>
        <item x="15"/>
        <item x="20"/>
        <item x="25"/>
        <item x="30"/>
        <item x="35"/>
        <item x="40"/>
        <item x="45"/>
        <item x="5"/>
        <item x="0"/>
        <item x="9"/>
        <item x="11"/>
        <item x="12"/>
        <item x="13"/>
        <item x="14"/>
        <item x="16"/>
        <item x="17"/>
        <item x="18"/>
        <item x="1"/>
        <item x="19"/>
        <item x="21"/>
        <item x="22"/>
        <item x="23"/>
        <item x="24"/>
        <item x="26"/>
        <item x="27"/>
        <item x="28"/>
        <item x="2"/>
        <item x="29"/>
        <item x="31"/>
        <item x="32"/>
        <item x="33"/>
        <item x="34"/>
        <item x="36"/>
        <item x="37"/>
        <item x="38"/>
        <item x="3"/>
        <item x="39"/>
        <item x="41"/>
        <item x="42"/>
        <item x="43"/>
        <item x="44"/>
        <item x="46"/>
        <item x="47"/>
        <item x="48"/>
        <item x="4"/>
        <item x="49"/>
        <item x="6"/>
        <item x="7"/>
        <item x="8"/>
        <item t="default"/>
      </items>
    </pivotField>
    <pivotField showAll="0"/>
    <pivotField numFmtId="164" showAll="0">
      <items count="47">
        <item x="45"/>
        <item x="27"/>
        <item x="13"/>
        <item x="6"/>
        <item x="23"/>
        <item x="11"/>
        <item x="14"/>
        <item x="43"/>
        <item x="9"/>
        <item x="44"/>
        <item x="39"/>
        <item x="34"/>
        <item x="0"/>
        <item x="32"/>
        <item x="35"/>
        <item x="7"/>
        <item x="4"/>
        <item x="17"/>
        <item x="29"/>
        <item x="31"/>
        <item x="19"/>
        <item x="42"/>
        <item x="8"/>
        <item x="21"/>
        <item x="33"/>
        <item x="18"/>
        <item x="22"/>
        <item x="16"/>
        <item x="20"/>
        <item x="3"/>
        <item x="2"/>
        <item x="41"/>
        <item x="38"/>
        <item x="24"/>
        <item x="10"/>
        <item x="12"/>
        <item x="1"/>
        <item x="36"/>
        <item x="30"/>
        <item x="37"/>
        <item x="15"/>
        <item x="5"/>
        <item x="25"/>
        <item x="28"/>
        <item x="40"/>
        <item x="26"/>
        <item t="default"/>
      </items>
    </pivotField>
    <pivotField numFmtId="164" showAll="0"/>
    <pivotField showAll="0"/>
    <pivotField dataField="1" showAll="0"/>
    <pivotField showAll="0"/>
    <pivotField showAll="0"/>
    <pivotField showAll="0"/>
    <pivotField showAll="0">
      <items count="15">
        <item h="1" x="0"/>
        <item h="1" x="1"/>
        <item h="1" x="2"/>
        <item x="3"/>
        <item h="1" x="4"/>
        <item h="1" x="5"/>
        <item h="1" x="6"/>
        <item h="1" x="7"/>
        <item h="1" x="8"/>
        <item h="1" x="9"/>
        <item h="1" x="10"/>
        <item h="1" x="11"/>
        <item h="1" x="12"/>
        <item h="1" x="13"/>
        <item t="default"/>
      </items>
    </pivotField>
  </pivotFields>
  <rowFields count="1">
    <field x="0"/>
  </rowFields>
  <rowItems count="10">
    <i>
      <x/>
    </i>
    <i>
      <x v="9"/>
    </i>
    <i>
      <x v="14"/>
    </i>
    <i>
      <x v="17"/>
    </i>
    <i>
      <x v="33"/>
    </i>
    <i>
      <x v="35"/>
    </i>
    <i>
      <x v="41"/>
    </i>
    <i>
      <x v="46"/>
    </i>
    <i>
      <x v="48"/>
    </i>
    <i t="grand">
      <x/>
    </i>
  </rowItems>
  <colItems count="1">
    <i/>
  </colItems>
  <dataFields count="1">
    <dataField name="Sum of Medical Cost" fld="6"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7247A1-C956-4D63-8C10-0B441C546C7B}" name="PivotTable2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7">
  <location ref="G25:H27" firstHeaderRow="1" firstDataRow="1" firstDataCol="1"/>
  <pivotFields count="11">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10"/>
        <item x="15"/>
        <item x="20"/>
        <item x="25"/>
        <item x="30"/>
        <item x="35"/>
        <item x="40"/>
        <item x="45"/>
        <item x="5"/>
        <item x="0"/>
        <item x="9"/>
        <item x="11"/>
        <item x="12"/>
        <item x="13"/>
        <item x="14"/>
        <item x="16"/>
        <item x="17"/>
        <item x="18"/>
        <item x="1"/>
        <item x="19"/>
        <item x="21"/>
        <item x="22"/>
        <item x="23"/>
        <item x="24"/>
        <item x="26"/>
        <item x="27"/>
        <item x="28"/>
        <item x="2"/>
        <item x="29"/>
        <item x="31"/>
        <item x="32"/>
        <item x="33"/>
        <item x="34"/>
        <item x="36"/>
        <item x="37"/>
        <item x="38"/>
        <item x="3"/>
        <item x="39"/>
        <item x="41"/>
        <item x="42"/>
        <item x="43"/>
        <item x="44"/>
        <item x="46"/>
        <item x="47"/>
        <item x="48"/>
        <item x="4"/>
        <item x="49"/>
        <item x="6"/>
        <item x="7"/>
        <item x="8"/>
        <item t="default"/>
      </items>
    </pivotField>
    <pivotField showAll="0"/>
    <pivotField numFmtId="164" showAll="0">
      <items count="47">
        <item x="45"/>
        <item x="27"/>
        <item x="13"/>
        <item x="6"/>
        <item x="23"/>
        <item x="11"/>
        <item x="14"/>
        <item x="43"/>
        <item x="9"/>
        <item x="44"/>
        <item x="39"/>
        <item x="34"/>
        <item x="0"/>
        <item x="32"/>
        <item x="35"/>
        <item x="7"/>
        <item x="4"/>
        <item x="17"/>
        <item x="29"/>
        <item x="31"/>
        <item x="19"/>
        <item x="42"/>
        <item x="8"/>
        <item x="21"/>
        <item x="33"/>
        <item x="18"/>
        <item x="22"/>
        <item x="16"/>
        <item x="20"/>
        <item x="3"/>
        <item x="2"/>
        <item x="41"/>
        <item x="38"/>
        <item x="24"/>
        <item x="10"/>
        <item x="12"/>
        <item x="1"/>
        <item x="36"/>
        <item x="30"/>
        <item x="37"/>
        <item x="15"/>
        <item x="5"/>
        <item x="25"/>
        <item x="28"/>
        <item x="40"/>
        <item x="26"/>
        <item t="default"/>
      </items>
    </pivotField>
    <pivotField numFmtId="164" showAll="0"/>
    <pivotField showAll="0"/>
    <pivotField showAll="0"/>
    <pivotField showAll="0"/>
    <pivotField dataField="1" showAll="0"/>
    <pivotField showAll="0"/>
    <pivotField axis="axisRow" showAll="0">
      <items count="15">
        <item h="1" x="0"/>
        <item h="1" x="1"/>
        <item h="1" x="2"/>
        <item x="3"/>
        <item h="1" x="4"/>
        <item h="1" x="5"/>
        <item h="1" x="6"/>
        <item h="1" x="7"/>
        <item h="1" x="8"/>
        <item h="1" x="9"/>
        <item h="1" x="10"/>
        <item h="1" x="11"/>
        <item h="1" x="12"/>
        <item h="1" x="13"/>
        <item t="default"/>
      </items>
    </pivotField>
  </pivotFields>
  <rowFields count="1">
    <field x="10"/>
  </rowFields>
  <rowItems count="2">
    <i>
      <x v="3"/>
    </i>
    <i t="grand">
      <x/>
    </i>
  </rowItems>
  <colItems count="1">
    <i/>
  </colItems>
  <dataFields count="1">
    <dataField name="Count of COVID Test Result" fld="8" subtotal="count" baseField="0" baseItem="0"/>
  </dataFields>
  <chartFormats count="6">
    <chartFormat chart="16"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998371-7212-4BB5-AB75-78539D092B6A}"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3:B13" firstHeaderRow="1" firstDataRow="1" firstDataCol="1"/>
  <pivotFields count="11">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dataField="1" showAll="0"/>
    <pivotField numFmtId="164" showAll="0">
      <items count="47">
        <item x="45"/>
        <item x="27"/>
        <item x="13"/>
        <item x="6"/>
        <item x="23"/>
        <item x="11"/>
        <item x="14"/>
        <item x="43"/>
        <item x="9"/>
        <item x="44"/>
        <item x="39"/>
        <item x="34"/>
        <item x="0"/>
        <item x="32"/>
        <item x="35"/>
        <item x="7"/>
        <item x="4"/>
        <item x="17"/>
        <item x="29"/>
        <item x="31"/>
        <item x="19"/>
        <item x="42"/>
        <item x="8"/>
        <item x="21"/>
        <item x="33"/>
        <item x="18"/>
        <item x="22"/>
        <item x="16"/>
        <item x="20"/>
        <item x="3"/>
        <item x="2"/>
        <item x="41"/>
        <item x="38"/>
        <item x="24"/>
        <item x="10"/>
        <item x="12"/>
        <item x="1"/>
        <item x="36"/>
        <item x="30"/>
        <item x="37"/>
        <item x="15"/>
        <item x="5"/>
        <item x="25"/>
        <item x="28"/>
        <item x="40"/>
        <item x="26"/>
        <item t="default"/>
      </items>
    </pivotField>
    <pivotField numFmtId="164" showAll="0"/>
    <pivotField showAll="0"/>
    <pivotField showAll="0"/>
    <pivotField showAll="0"/>
    <pivotField showAll="0"/>
    <pivotField showAll="0"/>
    <pivotField showAll="0">
      <items count="15">
        <item h="1" x="0"/>
        <item h="1" x="1"/>
        <item h="1" x="2"/>
        <item x="3"/>
        <item h="1" x="4"/>
        <item h="1" x="5"/>
        <item h="1" x="6"/>
        <item h="1" x="7"/>
        <item h="1" x="8"/>
        <item h="1" x="9"/>
        <item h="1" x="10"/>
        <item h="1" x="11"/>
        <item h="1" x="12"/>
        <item h="1" x="13"/>
        <item t="default"/>
      </items>
    </pivotField>
  </pivotFields>
  <rowFields count="1">
    <field x="0"/>
  </rowFields>
  <rowItems count="10">
    <i>
      <x/>
    </i>
    <i>
      <x v="9"/>
    </i>
    <i>
      <x v="14"/>
    </i>
    <i>
      <x v="17"/>
    </i>
    <i>
      <x v="33"/>
    </i>
    <i>
      <x v="35"/>
    </i>
    <i>
      <x v="41"/>
    </i>
    <i>
      <x v="46"/>
    </i>
    <i>
      <x v="48"/>
    </i>
    <i t="grand">
      <x/>
    </i>
  </rowItems>
  <colItems count="1">
    <i/>
  </colItems>
  <dataFields count="1">
    <dataField name="Sum of Age" fld="2"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895C1D-ED96-4F00-968D-A03DF29AA621}" name="PivotTable20"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K11:L21" firstHeaderRow="1" firstDataRow="1" firstDataCol="1"/>
  <pivotFields count="11">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10"/>
        <item x="15"/>
        <item x="20"/>
        <item x="25"/>
        <item x="30"/>
        <item x="35"/>
        <item x="40"/>
        <item x="45"/>
        <item x="5"/>
        <item x="0"/>
        <item x="9"/>
        <item x="11"/>
        <item x="12"/>
        <item x="13"/>
        <item x="14"/>
        <item x="16"/>
        <item x="17"/>
        <item x="18"/>
        <item x="1"/>
        <item x="19"/>
        <item x="21"/>
        <item x="22"/>
        <item x="23"/>
        <item x="24"/>
        <item x="26"/>
        <item x="27"/>
        <item x="28"/>
        <item x="2"/>
        <item x="29"/>
        <item x="31"/>
        <item x="32"/>
        <item x="33"/>
        <item x="34"/>
        <item x="36"/>
        <item x="37"/>
        <item x="38"/>
        <item x="3"/>
        <item x="39"/>
        <item x="41"/>
        <item x="42"/>
        <item x="43"/>
        <item x="44"/>
        <item x="46"/>
        <item x="47"/>
        <item x="48"/>
        <item x="4"/>
        <item x="49"/>
        <item x="6"/>
        <item x="7"/>
        <item x="8"/>
        <item t="default"/>
      </items>
    </pivotField>
    <pivotField showAll="0"/>
    <pivotField numFmtId="164" showAll="0">
      <items count="47">
        <item x="45"/>
        <item x="27"/>
        <item x="13"/>
        <item x="6"/>
        <item x="23"/>
        <item x="11"/>
        <item x="14"/>
        <item x="43"/>
        <item x="9"/>
        <item x="44"/>
        <item x="39"/>
        <item x="34"/>
        <item x="0"/>
        <item x="32"/>
        <item x="35"/>
        <item x="7"/>
        <item x="4"/>
        <item x="17"/>
        <item x="29"/>
        <item x="31"/>
        <item x="19"/>
        <item x="42"/>
        <item x="8"/>
        <item x="21"/>
        <item x="33"/>
        <item x="18"/>
        <item x="22"/>
        <item x="16"/>
        <item x="20"/>
        <item x="3"/>
        <item x="2"/>
        <item x="41"/>
        <item x="38"/>
        <item x="24"/>
        <item x="10"/>
        <item x="12"/>
        <item x="1"/>
        <item x="36"/>
        <item x="30"/>
        <item x="37"/>
        <item x="15"/>
        <item x="5"/>
        <item x="25"/>
        <item x="28"/>
        <item x="40"/>
        <item x="26"/>
        <item t="default"/>
      </items>
    </pivotField>
    <pivotField numFmtId="164" showAll="0"/>
    <pivotField dataField="1" showAll="0"/>
    <pivotField showAll="0"/>
    <pivotField showAll="0"/>
    <pivotField showAll="0"/>
    <pivotField showAll="0"/>
    <pivotField showAll="0">
      <items count="15">
        <item h="1" x="0"/>
        <item h="1" x="1"/>
        <item h="1" x="2"/>
        <item x="3"/>
        <item h="1" x="4"/>
        <item h="1" x="5"/>
        <item h="1" x="6"/>
        <item h="1" x="7"/>
        <item h="1" x="8"/>
        <item h="1" x="9"/>
        <item h="1" x="10"/>
        <item h="1" x="11"/>
        <item h="1" x="12"/>
        <item h="1" x="13"/>
        <item t="default"/>
      </items>
    </pivotField>
  </pivotFields>
  <rowFields count="1">
    <field x="0"/>
  </rowFields>
  <rowItems count="10">
    <i>
      <x/>
    </i>
    <i>
      <x v="9"/>
    </i>
    <i>
      <x v="14"/>
    </i>
    <i>
      <x v="17"/>
    </i>
    <i>
      <x v="33"/>
    </i>
    <i>
      <x v="35"/>
    </i>
    <i>
      <x v="41"/>
    </i>
    <i>
      <x v="46"/>
    </i>
    <i>
      <x v="48"/>
    </i>
    <i t="grand">
      <x/>
    </i>
  </rowItems>
  <colItems count="1">
    <i/>
  </colItems>
  <dataFields count="1">
    <dataField name="Sum of Oxygen Level" fld="5"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2057CA-C24C-4D1C-A677-7F8C43E23768}" name="PivotTable4"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G3:L5" firstHeaderRow="1" firstDataRow="2" firstDataCol="1"/>
  <pivotFields count="11">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10"/>
        <item x="15"/>
        <item x="20"/>
        <item x="25"/>
        <item x="30"/>
        <item x="35"/>
        <item x="40"/>
        <item x="45"/>
        <item x="5"/>
        <item x="0"/>
        <item x="9"/>
        <item x="11"/>
        <item x="12"/>
        <item x="13"/>
        <item x="14"/>
        <item x="16"/>
        <item x="17"/>
        <item x="18"/>
        <item x="1"/>
        <item x="19"/>
        <item x="21"/>
        <item x="22"/>
        <item x="23"/>
        <item x="24"/>
        <item x="26"/>
        <item x="27"/>
        <item x="28"/>
        <item x="2"/>
        <item x="29"/>
        <item x="31"/>
        <item x="32"/>
        <item x="33"/>
        <item x="34"/>
        <item x="36"/>
        <item x="37"/>
        <item x="38"/>
        <item x="3"/>
        <item x="39"/>
        <item x="41"/>
        <item x="42"/>
        <item x="43"/>
        <item x="44"/>
        <item x="46"/>
        <item x="47"/>
        <item x="48"/>
        <item x="4"/>
        <item x="49"/>
        <item x="6"/>
        <item x="7"/>
        <item x="8"/>
        <item t="default"/>
      </items>
    </pivotField>
    <pivotField showAll="0"/>
    <pivotField numFmtId="164" showAll="0">
      <items count="47">
        <item x="45"/>
        <item x="27"/>
        <item x="13"/>
        <item x="6"/>
        <item x="23"/>
        <item x="11"/>
        <item x="14"/>
        <item x="43"/>
        <item x="9"/>
        <item x="44"/>
        <item x="39"/>
        <item x="34"/>
        <item x="0"/>
        <item x="32"/>
        <item x="35"/>
        <item x="7"/>
        <item x="4"/>
        <item x="17"/>
        <item x="29"/>
        <item x="31"/>
        <item x="19"/>
        <item x="42"/>
        <item x="8"/>
        <item x="21"/>
        <item x="33"/>
        <item x="18"/>
        <item x="22"/>
        <item x="16"/>
        <item x="20"/>
        <item x="3"/>
        <item x="2"/>
        <item x="41"/>
        <item x="38"/>
        <item x="24"/>
        <item x="10"/>
        <item x="12"/>
        <item x="1"/>
        <item x="36"/>
        <item x="30"/>
        <item x="37"/>
        <item x="15"/>
        <item x="5"/>
        <item x="25"/>
        <item x="28"/>
        <item x="40"/>
        <item x="26"/>
        <item t="default"/>
      </items>
    </pivotField>
    <pivotField numFmtId="164" showAll="0"/>
    <pivotField showAll="0"/>
    <pivotField showAll="0"/>
    <pivotField axis="axisCol" showAll="0">
      <items count="6">
        <item x="0"/>
        <item x="4"/>
        <item x="2"/>
        <item x="3"/>
        <item x="1"/>
        <item t="default"/>
      </items>
    </pivotField>
    <pivotField showAll="0"/>
    <pivotField showAll="0"/>
    <pivotField showAll="0">
      <items count="15">
        <item h="1" x="0"/>
        <item h="1" x="1"/>
        <item h="1" x="2"/>
        <item x="3"/>
        <item h="1" x="4"/>
        <item h="1" x="5"/>
        <item h="1" x="6"/>
        <item h="1" x="7"/>
        <item h="1" x="8"/>
        <item h="1" x="9"/>
        <item h="1" x="10"/>
        <item h="1" x="11"/>
        <item h="1" x="12"/>
        <item h="1" x="13"/>
        <item t="default"/>
      </items>
    </pivotField>
  </pivotFields>
  <rowItems count="1">
    <i/>
  </rowItems>
  <colFields count="1">
    <field x="7"/>
  </colFields>
  <colItems count="5">
    <i>
      <x/>
    </i>
    <i>
      <x v="1"/>
    </i>
    <i>
      <x v="2"/>
    </i>
    <i>
      <x v="4"/>
    </i>
    <i t="grand">
      <x/>
    </i>
  </colItems>
  <dataFields count="1">
    <dataField name="Sum of Patient ID" fld="0" baseField="0" baseItem="0"/>
  </dataFields>
  <chartFormats count="5">
    <chartFormat chart="7" format="10" series="1">
      <pivotArea type="data" outline="0" fieldPosition="0">
        <references count="2">
          <reference field="4294967294" count="1" selected="0">
            <x v="0"/>
          </reference>
          <reference field="7" count="1" selected="0">
            <x v="0"/>
          </reference>
        </references>
      </pivotArea>
    </chartFormat>
    <chartFormat chart="7" format="11" series="1">
      <pivotArea type="data" outline="0" fieldPosition="0">
        <references count="2">
          <reference field="4294967294" count="1" selected="0">
            <x v="0"/>
          </reference>
          <reference field="7" count="1" selected="0">
            <x v="1"/>
          </reference>
        </references>
      </pivotArea>
    </chartFormat>
    <chartFormat chart="7" format="12" series="1">
      <pivotArea type="data" outline="0" fieldPosition="0">
        <references count="2">
          <reference field="4294967294" count="1" selected="0">
            <x v="0"/>
          </reference>
          <reference field="7" count="1" selected="0">
            <x v="2"/>
          </reference>
        </references>
      </pivotArea>
    </chartFormat>
    <chartFormat chart="7" format="13" series="1">
      <pivotArea type="data" outline="0" fieldPosition="0">
        <references count="2">
          <reference field="4294967294" count="1" selected="0">
            <x v="0"/>
          </reference>
          <reference field="7" count="1" selected="0">
            <x v="3"/>
          </reference>
        </references>
      </pivotArea>
    </chartFormat>
    <chartFormat chart="7" format="1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9BEAFF-D29F-4E73-8DF3-2AE59F93E8C4}" name="PivotTable8"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G9:H11" firstHeaderRow="1" firstDataRow="1" firstDataCol="1"/>
  <pivotFields count="11">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numFmtId="164" showAll="0">
      <items count="47">
        <item x="45"/>
        <item x="27"/>
        <item x="13"/>
        <item x="6"/>
        <item x="23"/>
        <item x="11"/>
        <item x="14"/>
        <item x="43"/>
        <item x="9"/>
        <item x="44"/>
        <item x="39"/>
        <item x="34"/>
        <item x="0"/>
        <item x="32"/>
        <item x="35"/>
        <item x="7"/>
        <item x="4"/>
        <item x="17"/>
        <item x="29"/>
        <item x="31"/>
        <item x="19"/>
        <item x="42"/>
        <item x="8"/>
        <item x="21"/>
        <item x="33"/>
        <item x="18"/>
        <item x="22"/>
        <item x="16"/>
        <item x="20"/>
        <item x="3"/>
        <item x="2"/>
        <item x="41"/>
        <item x="38"/>
        <item x="24"/>
        <item x="10"/>
        <item x="12"/>
        <item x="1"/>
        <item x="36"/>
        <item x="30"/>
        <item x="37"/>
        <item x="15"/>
        <item x="5"/>
        <item x="25"/>
        <item x="28"/>
        <item x="40"/>
        <item x="26"/>
        <item t="default"/>
      </items>
    </pivotField>
    <pivotField numFmtId="164"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x="0"/>
        <item h="1" x="1"/>
        <item h="1" x="2"/>
        <item x="3"/>
        <item h="1" x="4"/>
        <item h="1" x="5"/>
        <item h="1" x="6"/>
        <item h="1" x="7"/>
        <item h="1" x="8"/>
        <item h="1" x="9"/>
        <item h="1" x="10"/>
        <item h="1" x="11"/>
        <item h="1" x="12"/>
        <item h="1" x="13"/>
        <item t="default"/>
      </items>
    </pivotField>
  </pivotFields>
  <rowFields count="1">
    <field x="10"/>
  </rowFields>
  <rowItems count="2">
    <i>
      <x v="3"/>
    </i>
    <i t="grand">
      <x/>
    </i>
  </rowItems>
  <colItems count="1">
    <i/>
  </colItems>
  <dataFields count="1">
    <dataField name="Sum of Medical Cost" fld="6" baseField="0" baseItem="0"/>
  </dataFields>
  <chartFormats count="39">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 chart="2" format="4">
      <pivotArea type="data" outline="0" fieldPosition="0">
        <references count="2">
          <reference field="4294967294" count="1" selected="0">
            <x v="0"/>
          </reference>
          <reference field="10" count="1" selected="0">
            <x v="3"/>
          </reference>
        </references>
      </pivotArea>
    </chartFormat>
    <chartFormat chart="2" format="5">
      <pivotArea type="data" outline="0" fieldPosition="0">
        <references count="2">
          <reference field="4294967294" count="1" selected="0">
            <x v="0"/>
          </reference>
          <reference field="10" count="1" selected="0">
            <x v="4"/>
          </reference>
        </references>
      </pivotArea>
    </chartFormat>
    <chartFormat chart="2" format="6">
      <pivotArea type="data" outline="0" fieldPosition="0">
        <references count="2">
          <reference field="4294967294" count="1" selected="0">
            <x v="0"/>
          </reference>
          <reference field="10" count="1" selected="0">
            <x v="5"/>
          </reference>
        </references>
      </pivotArea>
    </chartFormat>
    <chartFormat chart="2" format="7">
      <pivotArea type="data" outline="0" fieldPosition="0">
        <references count="2">
          <reference field="4294967294" count="1" selected="0">
            <x v="0"/>
          </reference>
          <reference field="10" count="1" selected="0">
            <x v="6"/>
          </reference>
        </references>
      </pivotArea>
    </chartFormat>
    <chartFormat chart="2" format="8">
      <pivotArea type="data" outline="0" fieldPosition="0">
        <references count="2">
          <reference field="4294967294" count="1" selected="0">
            <x v="0"/>
          </reference>
          <reference field="10" count="1" selected="0">
            <x v="7"/>
          </reference>
        </references>
      </pivotArea>
    </chartFormat>
    <chartFormat chart="2" format="9">
      <pivotArea type="data" outline="0" fieldPosition="0">
        <references count="2">
          <reference field="4294967294" count="1" selected="0">
            <x v="0"/>
          </reference>
          <reference field="10" count="1" selected="0">
            <x v="8"/>
          </reference>
        </references>
      </pivotArea>
    </chartFormat>
    <chartFormat chart="2" format="10">
      <pivotArea type="data" outline="0" fieldPosition="0">
        <references count="2">
          <reference field="4294967294" count="1" selected="0">
            <x v="0"/>
          </reference>
          <reference field="10" count="1" selected="0">
            <x v="9"/>
          </reference>
        </references>
      </pivotArea>
    </chartFormat>
    <chartFormat chart="2" format="11">
      <pivotArea type="data" outline="0" fieldPosition="0">
        <references count="2">
          <reference field="4294967294" count="1" selected="0">
            <x v="0"/>
          </reference>
          <reference field="10" count="1" selected="0">
            <x v="10"/>
          </reference>
        </references>
      </pivotArea>
    </chartFormat>
    <chartFormat chart="2" format="12">
      <pivotArea type="data" outline="0" fieldPosition="0">
        <references count="2">
          <reference field="4294967294" count="1" selected="0">
            <x v="0"/>
          </reference>
          <reference field="10" count="1" selected="0">
            <x v="11"/>
          </reference>
        </references>
      </pivotArea>
    </chartFormat>
    <chartFormat chart="2" format="13">
      <pivotArea type="data" outline="0" fieldPosition="0">
        <references count="2">
          <reference field="4294967294" count="1" selected="0">
            <x v="0"/>
          </reference>
          <reference field="10" count="1" selected="0">
            <x v="12"/>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0" count="1" selected="0">
            <x v="1"/>
          </reference>
        </references>
      </pivotArea>
    </chartFormat>
    <chartFormat chart="3" format="16">
      <pivotArea type="data" outline="0" fieldPosition="0">
        <references count="2">
          <reference field="4294967294" count="1" selected="0">
            <x v="0"/>
          </reference>
          <reference field="10" count="1" selected="0">
            <x v="2"/>
          </reference>
        </references>
      </pivotArea>
    </chartFormat>
    <chartFormat chart="3" format="17">
      <pivotArea type="data" outline="0" fieldPosition="0">
        <references count="2">
          <reference field="4294967294" count="1" selected="0">
            <x v="0"/>
          </reference>
          <reference field="10" count="1" selected="0">
            <x v="3"/>
          </reference>
        </references>
      </pivotArea>
    </chartFormat>
    <chartFormat chart="3" format="18">
      <pivotArea type="data" outline="0" fieldPosition="0">
        <references count="2">
          <reference field="4294967294" count="1" selected="0">
            <x v="0"/>
          </reference>
          <reference field="10" count="1" selected="0">
            <x v="4"/>
          </reference>
        </references>
      </pivotArea>
    </chartFormat>
    <chartFormat chart="3" format="19">
      <pivotArea type="data" outline="0" fieldPosition="0">
        <references count="2">
          <reference field="4294967294" count="1" selected="0">
            <x v="0"/>
          </reference>
          <reference field="10" count="1" selected="0">
            <x v="5"/>
          </reference>
        </references>
      </pivotArea>
    </chartFormat>
    <chartFormat chart="3" format="20">
      <pivotArea type="data" outline="0" fieldPosition="0">
        <references count="2">
          <reference field="4294967294" count="1" selected="0">
            <x v="0"/>
          </reference>
          <reference field="10" count="1" selected="0">
            <x v="6"/>
          </reference>
        </references>
      </pivotArea>
    </chartFormat>
    <chartFormat chart="3" format="21">
      <pivotArea type="data" outline="0" fieldPosition="0">
        <references count="2">
          <reference field="4294967294" count="1" selected="0">
            <x v="0"/>
          </reference>
          <reference field="10" count="1" selected="0">
            <x v="7"/>
          </reference>
        </references>
      </pivotArea>
    </chartFormat>
    <chartFormat chart="3" format="22">
      <pivotArea type="data" outline="0" fieldPosition="0">
        <references count="2">
          <reference field="4294967294" count="1" selected="0">
            <x v="0"/>
          </reference>
          <reference field="10" count="1" selected="0">
            <x v="8"/>
          </reference>
        </references>
      </pivotArea>
    </chartFormat>
    <chartFormat chart="3" format="23">
      <pivotArea type="data" outline="0" fieldPosition="0">
        <references count="2">
          <reference field="4294967294" count="1" selected="0">
            <x v="0"/>
          </reference>
          <reference field="10" count="1" selected="0">
            <x v="9"/>
          </reference>
        </references>
      </pivotArea>
    </chartFormat>
    <chartFormat chart="3" format="24">
      <pivotArea type="data" outline="0" fieldPosition="0">
        <references count="2">
          <reference field="4294967294" count="1" selected="0">
            <x v="0"/>
          </reference>
          <reference field="10" count="1" selected="0">
            <x v="10"/>
          </reference>
        </references>
      </pivotArea>
    </chartFormat>
    <chartFormat chart="3" format="25">
      <pivotArea type="data" outline="0" fieldPosition="0">
        <references count="2">
          <reference field="4294967294" count="1" selected="0">
            <x v="0"/>
          </reference>
          <reference field="10" count="1" selected="0">
            <x v="11"/>
          </reference>
        </references>
      </pivotArea>
    </chartFormat>
    <chartFormat chart="3" format="26">
      <pivotArea type="data" outline="0" fieldPosition="0">
        <references count="2">
          <reference field="4294967294" count="1" selected="0">
            <x v="0"/>
          </reference>
          <reference field="10" count="1" selected="0">
            <x v="12"/>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0" count="1" selected="0">
            <x v="1"/>
          </reference>
        </references>
      </pivotArea>
    </chartFormat>
    <chartFormat chart="4" format="16">
      <pivotArea type="data" outline="0" fieldPosition="0">
        <references count="2">
          <reference field="4294967294" count="1" selected="0">
            <x v="0"/>
          </reference>
          <reference field="10" count="1" selected="0">
            <x v="2"/>
          </reference>
        </references>
      </pivotArea>
    </chartFormat>
    <chartFormat chart="4" format="17">
      <pivotArea type="data" outline="0" fieldPosition="0">
        <references count="2">
          <reference field="4294967294" count="1" selected="0">
            <x v="0"/>
          </reference>
          <reference field="10" count="1" selected="0">
            <x v="3"/>
          </reference>
        </references>
      </pivotArea>
    </chartFormat>
    <chartFormat chart="4" format="18">
      <pivotArea type="data" outline="0" fieldPosition="0">
        <references count="2">
          <reference field="4294967294" count="1" selected="0">
            <x v="0"/>
          </reference>
          <reference field="10" count="1" selected="0">
            <x v="4"/>
          </reference>
        </references>
      </pivotArea>
    </chartFormat>
    <chartFormat chart="4" format="19">
      <pivotArea type="data" outline="0" fieldPosition="0">
        <references count="2">
          <reference field="4294967294" count="1" selected="0">
            <x v="0"/>
          </reference>
          <reference field="10" count="1" selected="0">
            <x v="5"/>
          </reference>
        </references>
      </pivotArea>
    </chartFormat>
    <chartFormat chart="4" format="20">
      <pivotArea type="data" outline="0" fieldPosition="0">
        <references count="2">
          <reference field="4294967294" count="1" selected="0">
            <x v="0"/>
          </reference>
          <reference field="10" count="1" selected="0">
            <x v="6"/>
          </reference>
        </references>
      </pivotArea>
    </chartFormat>
    <chartFormat chart="4" format="21">
      <pivotArea type="data" outline="0" fieldPosition="0">
        <references count="2">
          <reference field="4294967294" count="1" selected="0">
            <x v="0"/>
          </reference>
          <reference field="10" count="1" selected="0">
            <x v="7"/>
          </reference>
        </references>
      </pivotArea>
    </chartFormat>
    <chartFormat chart="4" format="22">
      <pivotArea type="data" outline="0" fieldPosition="0">
        <references count="2">
          <reference field="4294967294" count="1" selected="0">
            <x v="0"/>
          </reference>
          <reference field="10" count="1" selected="0">
            <x v="8"/>
          </reference>
        </references>
      </pivotArea>
    </chartFormat>
    <chartFormat chart="4" format="23">
      <pivotArea type="data" outline="0" fieldPosition="0">
        <references count="2">
          <reference field="4294967294" count="1" selected="0">
            <x v="0"/>
          </reference>
          <reference field="10" count="1" selected="0">
            <x v="9"/>
          </reference>
        </references>
      </pivotArea>
    </chartFormat>
    <chartFormat chart="4" format="24">
      <pivotArea type="data" outline="0" fieldPosition="0">
        <references count="2">
          <reference field="4294967294" count="1" selected="0">
            <x v="0"/>
          </reference>
          <reference field="10" count="1" selected="0">
            <x v="10"/>
          </reference>
        </references>
      </pivotArea>
    </chartFormat>
    <chartFormat chart="4" format="25">
      <pivotArea type="data" outline="0" fieldPosition="0">
        <references count="2">
          <reference field="4294967294" count="1" selected="0">
            <x v="0"/>
          </reference>
          <reference field="10" count="1" selected="0">
            <x v="11"/>
          </reference>
        </references>
      </pivotArea>
    </chartFormat>
    <chartFormat chart="4" format="26">
      <pivotArea type="data" outline="0" fieldPosition="0">
        <references count="2">
          <reference field="4294967294" count="1" selected="0">
            <x v="0"/>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Admission_Date" xr10:uid="{663C9D18-E75F-4084-8E60-600676531867}" sourceName="Months (Admission Date)">
  <pivotTables>
    <pivotTable tabId="3" name="PivotTable8"/>
    <pivotTable tabId="3" name="PivotTable2"/>
    <pivotTable tabId="3" name="PivotTable3"/>
    <pivotTable tabId="3" name="PivotTable4"/>
    <pivotTable tabId="3" name="PivotTable20"/>
    <pivotTable tabId="3" name="PivotTable21"/>
  </pivotTables>
  <data>
    <tabular pivotCacheId="81029305">
      <items count="14">
        <i x="1"/>
        <i x="2"/>
        <i x="3" s="1"/>
        <i x="4"/>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Admission Date) 2" xr10:uid="{9ED8BD24-BC15-419B-8FDE-434D588EED50}" cache="Slicer_Months__Admission_Date" caption="Months (Admission Date)"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zoomScale="97" workbookViewId="0">
      <selection activeCell="C11" sqref="C11"/>
    </sheetView>
  </sheetViews>
  <sheetFormatPr defaultColWidth="28.33203125" defaultRowHeight="14.4" x14ac:dyDescent="0.3"/>
  <sheetData>
    <row r="1" spans="1:9" x14ac:dyDescent="0.3">
      <c r="A1" s="1" t="s">
        <v>0</v>
      </c>
      <c r="B1" s="1" t="s">
        <v>65</v>
      </c>
      <c r="C1" s="1" t="s">
        <v>1</v>
      </c>
      <c r="D1" s="1" t="s">
        <v>2</v>
      </c>
      <c r="E1" s="1" t="s">
        <v>3</v>
      </c>
      <c r="F1" s="1" t="s">
        <v>4</v>
      </c>
      <c r="G1" s="1" t="s">
        <v>5</v>
      </c>
      <c r="H1" s="1" t="s">
        <v>6</v>
      </c>
      <c r="I1" s="1" t="s">
        <v>7</v>
      </c>
    </row>
    <row r="2" spans="1:9" x14ac:dyDescent="0.3">
      <c r="A2">
        <v>1</v>
      </c>
      <c r="B2" t="s">
        <v>64</v>
      </c>
      <c r="C2">
        <v>27</v>
      </c>
      <c r="D2" s="2">
        <v>45370</v>
      </c>
      <c r="E2" s="2">
        <v>45380</v>
      </c>
      <c r="F2">
        <v>91</v>
      </c>
      <c r="G2">
        <v>14210</v>
      </c>
      <c r="H2" t="s">
        <v>57</v>
      </c>
      <c r="I2" t="s">
        <v>62</v>
      </c>
    </row>
    <row r="3" spans="1:9" x14ac:dyDescent="0.3">
      <c r="A3">
        <v>2</v>
      </c>
      <c r="B3" t="s">
        <v>8</v>
      </c>
      <c r="C3">
        <v>36</v>
      </c>
      <c r="D3" s="2">
        <v>45556</v>
      </c>
      <c r="E3" s="2">
        <v>45559</v>
      </c>
      <c r="F3">
        <v>83</v>
      </c>
      <c r="G3">
        <v>49234</v>
      </c>
      <c r="H3" t="s">
        <v>57</v>
      </c>
      <c r="I3" t="s">
        <v>62</v>
      </c>
    </row>
    <row r="4" spans="1:9" x14ac:dyDescent="0.3">
      <c r="A4">
        <v>3</v>
      </c>
      <c r="B4" t="s">
        <v>9</v>
      </c>
      <c r="C4">
        <v>27</v>
      </c>
      <c r="D4" s="2">
        <v>45537</v>
      </c>
      <c r="E4" s="2">
        <v>45541</v>
      </c>
      <c r="F4">
        <v>92</v>
      </c>
      <c r="G4">
        <v>26710</v>
      </c>
      <c r="H4" t="s">
        <v>58</v>
      </c>
      <c r="I4" t="s">
        <v>63</v>
      </c>
    </row>
    <row r="5" spans="1:9" x14ac:dyDescent="0.3">
      <c r="A5">
        <v>4</v>
      </c>
      <c r="B5" t="s">
        <v>10</v>
      </c>
      <c r="C5">
        <v>70</v>
      </c>
      <c r="D5" s="2">
        <v>45524</v>
      </c>
      <c r="E5" s="2">
        <v>45534</v>
      </c>
      <c r="F5">
        <v>72</v>
      </c>
      <c r="G5">
        <v>10123</v>
      </c>
      <c r="H5" t="s">
        <v>57</v>
      </c>
      <c r="I5" t="s">
        <v>62</v>
      </c>
    </row>
    <row r="6" spans="1:9" x14ac:dyDescent="0.3">
      <c r="A6">
        <v>5</v>
      </c>
      <c r="B6" t="s">
        <v>11</v>
      </c>
      <c r="C6">
        <v>31</v>
      </c>
      <c r="D6" s="2">
        <v>45405</v>
      </c>
      <c r="E6" s="2">
        <v>45409</v>
      </c>
      <c r="F6">
        <v>71</v>
      </c>
      <c r="G6">
        <v>39270</v>
      </c>
      <c r="H6" t="s">
        <v>58</v>
      </c>
      <c r="I6" t="s">
        <v>62</v>
      </c>
    </row>
    <row r="7" spans="1:9" x14ac:dyDescent="0.3">
      <c r="A7">
        <v>6</v>
      </c>
      <c r="B7" t="s">
        <v>12</v>
      </c>
      <c r="C7">
        <v>43</v>
      </c>
      <c r="D7" s="2">
        <v>45609</v>
      </c>
      <c r="E7" s="2">
        <v>45612</v>
      </c>
      <c r="F7">
        <v>79</v>
      </c>
      <c r="G7">
        <v>7482</v>
      </c>
      <c r="H7" t="s">
        <v>59</v>
      </c>
      <c r="I7" t="s">
        <v>63</v>
      </c>
    </row>
    <row r="8" spans="1:9" x14ac:dyDescent="0.3">
      <c r="A8">
        <v>7</v>
      </c>
      <c r="B8" t="s">
        <v>13</v>
      </c>
      <c r="C8">
        <v>33</v>
      </c>
      <c r="D8" s="2">
        <v>45324</v>
      </c>
      <c r="E8" s="2">
        <v>45337</v>
      </c>
      <c r="F8">
        <v>91</v>
      </c>
      <c r="G8">
        <v>31358</v>
      </c>
      <c r="H8" t="s">
        <v>59</v>
      </c>
      <c r="I8" t="s">
        <v>63</v>
      </c>
    </row>
    <row r="9" spans="1:9" x14ac:dyDescent="0.3">
      <c r="A9">
        <v>8</v>
      </c>
      <c r="B9" t="s">
        <v>14</v>
      </c>
      <c r="C9">
        <v>25</v>
      </c>
      <c r="D9" s="2">
        <v>45404</v>
      </c>
      <c r="E9" s="2">
        <v>45407</v>
      </c>
      <c r="F9">
        <v>92</v>
      </c>
      <c r="G9">
        <v>39121</v>
      </c>
      <c r="H9" t="s">
        <v>57</v>
      </c>
      <c r="I9" t="s">
        <v>62</v>
      </c>
    </row>
    <row r="10" spans="1:9" x14ac:dyDescent="0.3">
      <c r="A10">
        <v>9</v>
      </c>
      <c r="B10" t="s">
        <v>15</v>
      </c>
      <c r="C10">
        <v>89</v>
      </c>
      <c r="D10" s="2">
        <v>45469</v>
      </c>
      <c r="E10" s="2">
        <v>45483</v>
      </c>
      <c r="F10">
        <v>93</v>
      </c>
      <c r="G10">
        <v>32728</v>
      </c>
      <c r="H10" t="s">
        <v>57</v>
      </c>
      <c r="I10" t="s">
        <v>62</v>
      </c>
    </row>
    <row r="11" spans="1:9" x14ac:dyDescent="0.3">
      <c r="A11">
        <v>10</v>
      </c>
      <c r="B11" t="s">
        <v>16</v>
      </c>
      <c r="C11">
        <v>33</v>
      </c>
      <c r="D11" s="2">
        <v>45358</v>
      </c>
      <c r="E11" s="2">
        <v>45365</v>
      </c>
      <c r="F11">
        <v>86</v>
      </c>
      <c r="G11">
        <v>7750</v>
      </c>
      <c r="H11" t="s">
        <v>59</v>
      </c>
      <c r="I11" t="s">
        <v>62</v>
      </c>
    </row>
    <row r="12" spans="1:9" x14ac:dyDescent="0.3">
      <c r="A12">
        <v>11</v>
      </c>
      <c r="B12" t="s">
        <v>17</v>
      </c>
      <c r="C12">
        <v>45</v>
      </c>
      <c r="D12" s="2">
        <v>45548</v>
      </c>
      <c r="E12" s="2">
        <v>45557</v>
      </c>
      <c r="F12">
        <v>74</v>
      </c>
      <c r="G12">
        <v>34496</v>
      </c>
      <c r="H12" t="s">
        <v>60</v>
      </c>
      <c r="I12" t="s">
        <v>62</v>
      </c>
    </row>
    <row r="13" spans="1:9" x14ac:dyDescent="0.3">
      <c r="A13">
        <v>12</v>
      </c>
      <c r="B13" t="s">
        <v>18</v>
      </c>
      <c r="C13">
        <v>69</v>
      </c>
      <c r="D13" s="2">
        <v>45343</v>
      </c>
      <c r="E13" s="2">
        <v>45356</v>
      </c>
      <c r="F13">
        <v>94</v>
      </c>
      <c r="G13">
        <v>35336</v>
      </c>
      <c r="H13" t="s">
        <v>59</v>
      </c>
      <c r="I13" t="s">
        <v>62</v>
      </c>
    </row>
    <row r="14" spans="1:9" x14ac:dyDescent="0.3">
      <c r="A14">
        <v>13</v>
      </c>
      <c r="B14" t="s">
        <v>19</v>
      </c>
      <c r="C14">
        <v>58</v>
      </c>
      <c r="D14" s="2">
        <v>45551</v>
      </c>
      <c r="E14" s="2">
        <v>45563</v>
      </c>
      <c r="F14">
        <v>79</v>
      </c>
      <c r="G14">
        <v>34378</v>
      </c>
      <c r="H14" t="s">
        <v>60</v>
      </c>
      <c r="I14" t="s">
        <v>62</v>
      </c>
    </row>
    <row r="15" spans="1:9" x14ac:dyDescent="0.3">
      <c r="A15">
        <v>14</v>
      </c>
      <c r="B15" t="s">
        <v>20</v>
      </c>
      <c r="C15">
        <v>42</v>
      </c>
      <c r="D15" s="2">
        <v>45311</v>
      </c>
      <c r="E15" s="2">
        <v>45323</v>
      </c>
      <c r="F15">
        <v>72</v>
      </c>
      <c r="G15">
        <v>34024</v>
      </c>
      <c r="H15" t="s">
        <v>61</v>
      </c>
      <c r="I15" t="s">
        <v>62</v>
      </c>
    </row>
    <row r="16" spans="1:9" x14ac:dyDescent="0.3">
      <c r="A16">
        <v>15</v>
      </c>
      <c r="B16" t="s">
        <v>21</v>
      </c>
      <c r="C16">
        <v>58</v>
      </c>
      <c r="D16" s="2">
        <v>45355</v>
      </c>
      <c r="E16" s="2">
        <v>45369</v>
      </c>
      <c r="F16">
        <v>70</v>
      </c>
      <c r="G16">
        <v>14528</v>
      </c>
      <c r="H16" t="s">
        <v>57</v>
      </c>
      <c r="I16" t="s">
        <v>62</v>
      </c>
    </row>
    <row r="17" spans="1:9" x14ac:dyDescent="0.3">
      <c r="A17">
        <v>16</v>
      </c>
      <c r="B17" t="s">
        <v>22</v>
      </c>
      <c r="C17">
        <v>70</v>
      </c>
      <c r="D17" s="2">
        <v>45601</v>
      </c>
      <c r="E17" s="2">
        <v>45615</v>
      </c>
      <c r="F17">
        <v>74</v>
      </c>
      <c r="G17">
        <v>46726</v>
      </c>
      <c r="H17" t="s">
        <v>59</v>
      </c>
      <c r="I17" t="s">
        <v>62</v>
      </c>
    </row>
    <row r="18" spans="1:9" x14ac:dyDescent="0.3">
      <c r="A18">
        <v>17</v>
      </c>
      <c r="B18" t="s">
        <v>23</v>
      </c>
      <c r="C18">
        <v>51</v>
      </c>
      <c r="D18" s="2">
        <v>45508</v>
      </c>
      <c r="E18" s="2">
        <v>45518</v>
      </c>
      <c r="F18">
        <v>79</v>
      </c>
      <c r="G18">
        <v>41118</v>
      </c>
      <c r="H18" t="s">
        <v>58</v>
      </c>
      <c r="I18" t="s">
        <v>62</v>
      </c>
    </row>
    <row r="19" spans="1:9" x14ac:dyDescent="0.3">
      <c r="A19">
        <v>18</v>
      </c>
      <c r="B19" t="s">
        <v>24</v>
      </c>
      <c r="C19">
        <v>85</v>
      </c>
      <c r="D19" s="2">
        <v>45358</v>
      </c>
      <c r="E19" s="2">
        <v>45364</v>
      </c>
      <c r="F19">
        <v>88</v>
      </c>
      <c r="G19">
        <v>5226</v>
      </c>
      <c r="H19" t="s">
        <v>61</v>
      </c>
      <c r="I19" t="s">
        <v>63</v>
      </c>
    </row>
    <row r="20" spans="1:9" x14ac:dyDescent="0.3">
      <c r="A20">
        <v>19</v>
      </c>
      <c r="B20" t="s">
        <v>25</v>
      </c>
      <c r="C20">
        <v>86</v>
      </c>
      <c r="D20" s="2">
        <v>45425</v>
      </c>
      <c r="E20" s="2">
        <v>45435</v>
      </c>
      <c r="F20">
        <v>96</v>
      </c>
      <c r="G20">
        <v>26178</v>
      </c>
      <c r="H20" t="s">
        <v>60</v>
      </c>
      <c r="I20" t="s">
        <v>63</v>
      </c>
    </row>
    <row r="21" spans="1:9" x14ac:dyDescent="0.3">
      <c r="A21">
        <v>20</v>
      </c>
      <c r="B21" t="s">
        <v>26</v>
      </c>
      <c r="C21">
        <v>24</v>
      </c>
      <c r="D21" s="2">
        <v>45498</v>
      </c>
      <c r="E21" s="2">
        <v>45507</v>
      </c>
      <c r="F21">
        <v>93</v>
      </c>
      <c r="G21">
        <v>36566</v>
      </c>
      <c r="H21" t="s">
        <v>59</v>
      </c>
      <c r="I21" t="s">
        <v>62</v>
      </c>
    </row>
    <row r="22" spans="1:9" x14ac:dyDescent="0.3">
      <c r="A22">
        <v>21</v>
      </c>
      <c r="B22" t="s">
        <v>27</v>
      </c>
      <c r="C22">
        <v>36</v>
      </c>
      <c r="D22" s="2">
        <v>45452</v>
      </c>
      <c r="E22" s="2">
        <v>45457</v>
      </c>
      <c r="F22">
        <v>80</v>
      </c>
      <c r="G22">
        <v>9745</v>
      </c>
      <c r="H22" t="s">
        <v>57</v>
      </c>
      <c r="I22" t="s">
        <v>62</v>
      </c>
    </row>
    <row r="23" spans="1:9" x14ac:dyDescent="0.3">
      <c r="A23">
        <v>22</v>
      </c>
      <c r="B23" t="s">
        <v>28</v>
      </c>
      <c r="C23">
        <v>59</v>
      </c>
      <c r="D23" s="2">
        <v>45511</v>
      </c>
      <c r="E23" s="2">
        <v>45517</v>
      </c>
      <c r="F23">
        <v>89</v>
      </c>
      <c r="G23">
        <v>13621</v>
      </c>
      <c r="H23" t="s">
        <v>57</v>
      </c>
      <c r="I23" t="s">
        <v>62</v>
      </c>
    </row>
    <row r="24" spans="1:9" x14ac:dyDescent="0.3">
      <c r="A24">
        <v>23</v>
      </c>
      <c r="B24" t="s">
        <v>29</v>
      </c>
      <c r="C24">
        <v>35</v>
      </c>
      <c r="D24" s="2">
        <v>45486</v>
      </c>
      <c r="E24" s="2">
        <v>45490</v>
      </c>
      <c r="F24">
        <v>96</v>
      </c>
      <c r="G24">
        <v>21939</v>
      </c>
      <c r="H24" t="s">
        <v>59</v>
      </c>
      <c r="I24" t="s">
        <v>63</v>
      </c>
    </row>
    <row r="25" spans="1:9" x14ac:dyDescent="0.3">
      <c r="A25">
        <v>24</v>
      </c>
      <c r="B25" t="s">
        <v>30</v>
      </c>
      <c r="C25">
        <v>36</v>
      </c>
      <c r="D25" s="2">
        <v>45500</v>
      </c>
      <c r="E25" s="2">
        <v>45507</v>
      </c>
      <c r="F25">
        <v>96</v>
      </c>
      <c r="G25">
        <v>23339</v>
      </c>
      <c r="H25" t="s">
        <v>60</v>
      </c>
      <c r="I25" t="s">
        <v>63</v>
      </c>
    </row>
    <row r="26" spans="1:9" x14ac:dyDescent="0.3">
      <c r="A26">
        <v>25</v>
      </c>
      <c r="B26" t="s">
        <v>31</v>
      </c>
      <c r="C26">
        <v>53</v>
      </c>
      <c r="D26" s="2">
        <v>45327</v>
      </c>
      <c r="E26" s="2">
        <v>45331</v>
      </c>
      <c r="G26">
        <v>19820</v>
      </c>
      <c r="H26" t="s">
        <v>57</v>
      </c>
      <c r="I26" t="s">
        <v>62</v>
      </c>
    </row>
    <row r="27" spans="1:9" x14ac:dyDescent="0.3">
      <c r="A27">
        <v>26</v>
      </c>
      <c r="B27" t="s">
        <v>32</v>
      </c>
      <c r="C27">
        <v>64</v>
      </c>
      <c r="D27" s="2">
        <v>45547</v>
      </c>
      <c r="E27" s="2">
        <v>45556</v>
      </c>
      <c r="F27">
        <v>82</v>
      </c>
      <c r="G27">
        <v>32336</v>
      </c>
      <c r="H27" t="s">
        <v>60</v>
      </c>
      <c r="I27" t="s">
        <v>63</v>
      </c>
    </row>
    <row r="28" spans="1:9" x14ac:dyDescent="0.3">
      <c r="A28">
        <v>27</v>
      </c>
      <c r="B28" t="s">
        <v>33</v>
      </c>
      <c r="C28">
        <v>46</v>
      </c>
      <c r="D28" s="2">
        <v>45631</v>
      </c>
      <c r="E28" s="2">
        <v>45643</v>
      </c>
      <c r="F28">
        <v>99</v>
      </c>
      <c r="G28">
        <v>48606</v>
      </c>
      <c r="H28" t="s">
        <v>61</v>
      </c>
      <c r="I28" t="s">
        <v>63</v>
      </c>
    </row>
    <row r="29" spans="1:9" x14ac:dyDescent="0.3">
      <c r="A29">
        <v>28</v>
      </c>
      <c r="B29" t="s">
        <v>34</v>
      </c>
      <c r="C29">
        <v>80</v>
      </c>
      <c r="D29" s="2">
        <v>45652</v>
      </c>
      <c r="E29" s="2">
        <v>45662</v>
      </c>
      <c r="F29">
        <v>93</v>
      </c>
      <c r="G29">
        <v>47395</v>
      </c>
      <c r="H29" t="s">
        <v>61</v>
      </c>
      <c r="I29" t="s">
        <v>62</v>
      </c>
    </row>
    <row r="30" spans="1:9" x14ac:dyDescent="0.3">
      <c r="A30">
        <v>29</v>
      </c>
      <c r="B30" t="s">
        <v>35</v>
      </c>
      <c r="C30">
        <v>89</v>
      </c>
      <c r="D30" s="2">
        <v>45302</v>
      </c>
      <c r="E30" s="2">
        <v>45306</v>
      </c>
      <c r="F30">
        <v>100</v>
      </c>
      <c r="G30">
        <v>13075</v>
      </c>
      <c r="H30" t="s">
        <v>58</v>
      </c>
      <c r="I30" t="s">
        <v>62</v>
      </c>
    </row>
    <row r="31" spans="1:9" x14ac:dyDescent="0.3">
      <c r="A31">
        <v>30</v>
      </c>
      <c r="B31" t="s">
        <v>36</v>
      </c>
      <c r="C31">
        <v>83</v>
      </c>
      <c r="D31" s="2">
        <v>45633</v>
      </c>
      <c r="E31" s="2">
        <v>45643</v>
      </c>
      <c r="F31">
        <v>79</v>
      </c>
      <c r="G31">
        <v>47782</v>
      </c>
      <c r="H31" t="s">
        <v>60</v>
      </c>
      <c r="I31" t="s">
        <v>63</v>
      </c>
    </row>
    <row r="32" spans="1:9" x14ac:dyDescent="0.3">
      <c r="A32">
        <v>31</v>
      </c>
      <c r="B32" t="s">
        <v>37</v>
      </c>
      <c r="C32">
        <v>75</v>
      </c>
      <c r="D32" s="2">
        <v>45436</v>
      </c>
      <c r="E32" s="2">
        <v>45449</v>
      </c>
      <c r="F32">
        <v>98</v>
      </c>
      <c r="G32">
        <v>18243</v>
      </c>
      <c r="H32" t="s">
        <v>61</v>
      </c>
      <c r="I32" t="s">
        <v>63</v>
      </c>
    </row>
    <row r="33" spans="1:9" x14ac:dyDescent="0.3">
      <c r="A33">
        <v>32</v>
      </c>
      <c r="B33" t="s">
        <v>38</v>
      </c>
      <c r="C33">
        <v>37</v>
      </c>
      <c r="D33" s="2">
        <v>45577</v>
      </c>
      <c r="E33" s="2">
        <v>45590</v>
      </c>
      <c r="F33">
        <v>100</v>
      </c>
      <c r="G33">
        <v>44302</v>
      </c>
      <c r="H33" t="s">
        <v>61</v>
      </c>
      <c r="I33" t="s">
        <v>63</v>
      </c>
    </row>
    <row r="34" spans="1:9" x14ac:dyDescent="0.3">
      <c r="A34">
        <v>33</v>
      </c>
      <c r="B34" t="s">
        <v>39</v>
      </c>
      <c r="C34">
        <v>69</v>
      </c>
      <c r="D34" s="2">
        <v>45437</v>
      </c>
      <c r="E34" s="2">
        <v>45441</v>
      </c>
      <c r="F34">
        <v>73</v>
      </c>
      <c r="G34">
        <v>40255</v>
      </c>
      <c r="H34" t="s">
        <v>60</v>
      </c>
      <c r="I34" t="s">
        <v>62</v>
      </c>
    </row>
    <row r="35" spans="1:9" x14ac:dyDescent="0.3">
      <c r="A35">
        <v>34</v>
      </c>
      <c r="B35" t="s">
        <v>40</v>
      </c>
      <c r="C35">
        <v>34</v>
      </c>
      <c r="D35" s="2">
        <v>45372</v>
      </c>
      <c r="E35" s="2">
        <v>45386</v>
      </c>
      <c r="F35">
        <v>96</v>
      </c>
      <c r="G35">
        <v>37470</v>
      </c>
      <c r="H35" t="s">
        <v>58</v>
      </c>
      <c r="I35" t="s">
        <v>63</v>
      </c>
    </row>
    <row r="36" spans="1:9" x14ac:dyDescent="0.3">
      <c r="A36">
        <v>35</v>
      </c>
      <c r="B36" t="s">
        <v>41</v>
      </c>
      <c r="C36">
        <v>41</v>
      </c>
      <c r="D36" s="2">
        <v>45488</v>
      </c>
      <c r="E36" s="2">
        <v>45500</v>
      </c>
      <c r="F36">
        <v>70</v>
      </c>
      <c r="G36">
        <v>23072</v>
      </c>
      <c r="H36" t="s">
        <v>58</v>
      </c>
      <c r="I36" t="s">
        <v>62</v>
      </c>
    </row>
    <row r="37" spans="1:9" x14ac:dyDescent="0.3">
      <c r="A37">
        <v>36</v>
      </c>
      <c r="B37" t="s">
        <v>42</v>
      </c>
      <c r="C37">
        <v>58</v>
      </c>
      <c r="D37" s="2">
        <v>45362</v>
      </c>
      <c r="E37" s="2">
        <v>45372</v>
      </c>
      <c r="F37">
        <v>91</v>
      </c>
      <c r="G37">
        <v>6643</v>
      </c>
      <c r="H37" t="s">
        <v>57</v>
      </c>
      <c r="I37" t="s">
        <v>62</v>
      </c>
    </row>
    <row r="38" spans="1:9" x14ac:dyDescent="0.3">
      <c r="A38">
        <v>37</v>
      </c>
      <c r="B38" t="s">
        <v>43</v>
      </c>
      <c r="C38">
        <v>80</v>
      </c>
      <c r="D38" s="2">
        <v>45403</v>
      </c>
      <c r="E38" s="2">
        <v>45407</v>
      </c>
      <c r="F38">
        <v>95</v>
      </c>
      <c r="G38">
        <v>33445</v>
      </c>
      <c r="H38" t="s">
        <v>60</v>
      </c>
      <c r="I38" t="s">
        <v>63</v>
      </c>
    </row>
    <row r="39" spans="1:9" x14ac:dyDescent="0.3">
      <c r="A39">
        <v>38</v>
      </c>
      <c r="B39" t="s">
        <v>44</v>
      </c>
      <c r="C39">
        <v>78</v>
      </c>
      <c r="D39" s="2">
        <v>45562</v>
      </c>
      <c r="E39" s="2">
        <v>45573</v>
      </c>
      <c r="F39">
        <v>83</v>
      </c>
      <c r="G39">
        <v>7437</v>
      </c>
      <c r="H39" t="s">
        <v>57</v>
      </c>
      <c r="I39" t="s">
        <v>63</v>
      </c>
    </row>
    <row r="40" spans="1:9" x14ac:dyDescent="0.3">
      <c r="A40">
        <v>39</v>
      </c>
      <c r="B40" t="s">
        <v>45</v>
      </c>
      <c r="C40">
        <v>84</v>
      </c>
      <c r="D40" s="2">
        <v>45486</v>
      </c>
      <c r="E40" s="2">
        <v>45490</v>
      </c>
      <c r="F40">
        <v>84</v>
      </c>
      <c r="G40">
        <v>11506</v>
      </c>
      <c r="H40" t="s">
        <v>61</v>
      </c>
      <c r="I40" t="s">
        <v>63</v>
      </c>
    </row>
    <row r="41" spans="1:9" x14ac:dyDescent="0.3">
      <c r="A41">
        <v>40</v>
      </c>
      <c r="B41" t="s">
        <v>46</v>
      </c>
      <c r="C41">
        <v>63</v>
      </c>
      <c r="D41" s="2">
        <v>45592</v>
      </c>
      <c r="E41" s="2">
        <v>45598</v>
      </c>
      <c r="F41">
        <v>81</v>
      </c>
      <c r="G41">
        <v>35102</v>
      </c>
      <c r="H41" t="s">
        <v>57</v>
      </c>
      <c r="I41" t="s">
        <v>62</v>
      </c>
    </row>
    <row r="42" spans="1:9" x14ac:dyDescent="0.3">
      <c r="A42">
        <v>41</v>
      </c>
      <c r="B42" t="s">
        <v>47</v>
      </c>
      <c r="C42">
        <v>89</v>
      </c>
      <c r="D42" s="2">
        <v>45541</v>
      </c>
      <c r="E42" s="2">
        <v>45553</v>
      </c>
      <c r="G42">
        <v>9030</v>
      </c>
      <c r="H42" t="s">
        <v>57</v>
      </c>
      <c r="I42" t="s">
        <v>63</v>
      </c>
    </row>
    <row r="43" spans="1:9" x14ac:dyDescent="0.3">
      <c r="A43">
        <v>42</v>
      </c>
      <c r="B43" t="s">
        <v>48</v>
      </c>
      <c r="C43">
        <v>86</v>
      </c>
      <c r="D43" s="2">
        <v>45361</v>
      </c>
      <c r="E43" s="2">
        <v>45368</v>
      </c>
      <c r="F43">
        <v>98</v>
      </c>
      <c r="G43">
        <v>39078</v>
      </c>
      <c r="H43" t="s">
        <v>57</v>
      </c>
      <c r="I43" t="s">
        <v>62</v>
      </c>
    </row>
    <row r="44" spans="1:9" x14ac:dyDescent="0.3">
      <c r="A44">
        <v>43</v>
      </c>
      <c r="B44" t="s">
        <v>49</v>
      </c>
      <c r="C44">
        <v>78</v>
      </c>
      <c r="D44" s="2">
        <v>45469</v>
      </c>
      <c r="E44" s="2">
        <v>45474</v>
      </c>
      <c r="F44">
        <v>78</v>
      </c>
      <c r="G44">
        <v>20256</v>
      </c>
      <c r="H44" t="s">
        <v>61</v>
      </c>
      <c r="I44" t="s">
        <v>63</v>
      </c>
    </row>
    <row r="45" spans="1:9" x14ac:dyDescent="0.3">
      <c r="A45">
        <v>44</v>
      </c>
      <c r="B45" t="s">
        <v>50</v>
      </c>
      <c r="C45">
        <v>60</v>
      </c>
      <c r="D45" s="2">
        <v>45639</v>
      </c>
      <c r="E45" s="2">
        <v>45651</v>
      </c>
      <c r="F45">
        <v>90</v>
      </c>
      <c r="G45">
        <v>30241</v>
      </c>
      <c r="H45" t="s">
        <v>60</v>
      </c>
      <c r="I45" t="s">
        <v>63</v>
      </c>
    </row>
    <row r="46" spans="1:9" x14ac:dyDescent="0.3">
      <c r="A46">
        <v>45</v>
      </c>
      <c r="B46" t="s">
        <v>51</v>
      </c>
      <c r="C46">
        <v>30</v>
      </c>
      <c r="D46" s="2">
        <v>45539</v>
      </c>
      <c r="E46" s="2">
        <v>45542</v>
      </c>
      <c r="F46">
        <v>80</v>
      </c>
      <c r="G46">
        <v>38078</v>
      </c>
      <c r="H46" t="s">
        <v>60</v>
      </c>
      <c r="I46" t="s">
        <v>63</v>
      </c>
    </row>
    <row r="47" spans="1:9" x14ac:dyDescent="0.3">
      <c r="A47">
        <v>46</v>
      </c>
      <c r="B47" t="s">
        <v>52</v>
      </c>
      <c r="C47">
        <v>45</v>
      </c>
      <c r="D47" s="2">
        <v>45467</v>
      </c>
      <c r="E47" s="2">
        <v>45477</v>
      </c>
      <c r="F47">
        <v>96</v>
      </c>
      <c r="G47">
        <v>12730</v>
      </c>
      <c r="H47" t="s">
        <v>59</v>
      </c>
      <c r="I47" t="s">
        <v>63</v>
      </c>
    </row>
    <row r="48" spans="1:9" x14ac:dyDescent="0.3">
      <c r="A48">
        <v>47</v>
      </c>
      <c r="B48" t="s">
        <v>53</v>
      </c>
      <c r="C48">
        <v>33</v>
      </c>
      <c r="D48" s="2">
        <v>45356</v>
      </c>
      <c r="E48" s="2">
        <v>45359</v>
      </c>
      <c r="F48">
        <v>87</v>
      </c>
      <c r="G48">
        <v>28849</v>
      </c>
      <c r="H48" t="s">
        <v>59</v>
      </c>
      <c r="I48" t="s">
        <v>62</v>
      </c>
    </row>
    <row r="49" spans="1:9" x14ac:dyDescent="0.3">
      <c r="A49">
        <v>48</v>
      </c>
      <c r="B49" t="s">
        <v>54</v>
      </c>
      <c r="C49">
        <v>25</v>
      </c>
      <c r="D49" s="2">
        <v>45343</v>
      </c>
      <c r="E49" s="2">
        <v>45356</v>
      </c>
      <c r="F49">
        <v>97</v>
      </c>
      <c r="G49">
        <v>46520</v>
      </c>
      <c r="H49" t="s">
        <v>60</v>
      </c>
      <c r="I49" t="s">
        <v>62</v>
      </c>
    </row>
    <row r="50" spans="1:9" x14ac:dyDescent="0.3">
      <c r="A50">
        <v>49</v>
      </c>
      <c r="B50" t="s">
        <v>55</v>
      </c>
      <c r="C50">
        <v>40</v>
      </c>
      <c r="D50" s="2">
        <v>45359</v>
      </c>
      <c r="E50" s="2">
        <v>45369</v>
      </c>
      <c r="F50">
        <v>97</v>
      </c>
      <c r="G50">
        <v>38470</v>
      </c>
      <c r="H50" t="s">
        <v>58</v>
      </c>
      <c r="I50" t="s">
        <v>63</v>
      </c>
    </row>
    <row r="51" spans="1:9" x14ac:dyDescent="0.3">
      <c r="A51">
        <v>50</v>
      </c>
      <c r="B51" t="s">
        <v>56</v>
      </c>
      <c r="C51">
        <v>81</v>
      </c>
      <c r="D51" s="2">
        <v>45292</v>
      </c>
      <c r="E51" s="2">
        <v>45302</v>
      </c>
      <c r="F51">
        <v>80</v>
      </c>
      <c r="G51">
        <v>28668</v>
      </c>
      <c r="H51" t="s">
        <v>58</v>
      </c>
      <c r="I51"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18076-F0B3-4C72-A9FC-A5B8FA533AAB}">
  <dimension ref="A3:L27"/>
  <sheetViews>
    <sheetView zoomScale="72" workbookViewId="0">
      <selection activeCell="L4" sqref="L4:L5"/>
    </sheetView>
  </sheetViews>
  <sheetFormatPr defaultRowHeight="14.4" x14ac:dyDescent="0.3"/>
  <cols>
    <col min="1" max="1" width="13.5546875" bestFit="1" customWidth="1"/>
    <col min="2" max="2" width="10.6640625" bestFit="1" customWidth="1"/>
    <col min="4" max="4" width="13.5546875" bestFit="1" customWidth="1"/>
    <col min="5" max="5" width="18.44140625" bestFit="1" customWidth="1"/>
    <col min="7" max="7" width="13.5546875" bestFit="1" customWidth="1"/>
    <col min="8" max="8" width="24.33203125" bestFit="1" customWidth="1"/>
    <col min="9" max="9" width="8.109375" bestFit="1" customWidth="1"/>
    <col min="10" max="10" width="10.88671875" bestFit="1" customWidth="1"/>
    <col min="11" max="11" width="13.5546875" bestFit="1" customWidth="1"/>
    <col min="12" max="12" width="18.88671875" bestFit="1" customWidth="1"/>
    <col min="13" max="13" width="10.77734375" bestFit="1" customWidth="1"/>
  </cols>
  <sheetData>
    <row r="3" spans="1:12" x14ac:dyDescent="0.3">
      <c r="A3" s="3" t="s">
        <v>66</v>
      </c>
      <c r="B3" t="s">
        <v>68</v>
      </c>
      <c r="D3" s="3" t="s">
        <v>66</v>
      </c>
      <c r="E3" t="s">
        <v>70</v>
      </c>
      <c r="H3" s="3" t="s">
        <v>71</v>
      </c>
    </row>
    <row r="4" spans="1:12" x14ac:dyDescent="0.3">
      <c r="A4" s="4">
        <v>1</v>
      </c>
      <c r="B4">
        <v>27</v>
      </c>
      <c r="D4" s="4">
        <v>1</v>
      </c>
      <c r="E4">
        <v>14210</v>
      </c>
      <c r="H4" t="s">
        <v>57</v>
      </c>
      <c r="I4" t="s">
        <v>61</v>
      </c>
      <c r="J4" t="s">
        <v>59</v>
      </c>
      <c r="K4" t="s">
        <v>58</v>
      </c>
      <c r="L4" t="s">
        <v>67</v>
      </c>
    </row>
    <row r="5" spans="1:12" x14ac:dyDescent="0.3">
      <c r="A5" s="4">
        <v>10</v>
      </c>
      <c r="B5">
        <v>33</v>
      </c>
      <c r="D5" s="4">
        <v>10</v>
      </c>
      <c r="E5">
        <v>7750</v>
      </c>
      <c r="G5" t="s">
        <v>69</v>
      </c>
      <c r="H5">
        <v>94</v>
      </c>
      <c r="I5">
        <v>18</v>
      </c>
      <c r="J5">
        <v>57</v>
      </c>
      <c r="K5">
        <v>83</v>
      </c>
      <c r="L5">
        <v>252</v>
      </c>
    </row>
    <row r="6" spans="1:12" x14ac:dyDescent="0.3">
      <c r="A6" s="4">
        <v>15</v>
      </c>
      <c r="B6">
        <v>58</v>
      </c>
      <c r="D6" s="4">
        <v>15</v>
      </c>
      <c r="E6">
        <v>14528</v>
      </c>
    </row>
    <row r="7" spans="1:12" x14ac:dyDescent="0.3">
      <c r="A7" s="4">
        <v>18</v>
      </c>
      <c r="B7">
        <v>85</v>
      </c>
      <c r="D7" s="4">
        <v>18</v>
      </c>
      <c r="E7">
        <v>5226</v>
      </c>
    </row>
    <row r="8" spans="1:12" x14ac:dyDescent="0.3">
      <c r="A8" s="4">
        <v>34</v>
      </c>
      <c r="B8">
        <v>34</v>
      </c>
      <c r="D8" s="4">
        <v>34</v>
      </c>
      <c r="E8">
        <v>37470</v>
      </c>
    </row>
    <row r="9" spans="1:12" x14ac:dyDescent="0.3">
      <c r="A9" s="4">
        <v>36</v>
      </c>
      <c r="B9">
        <v>58</v>
      </c>
      <c r="D9" s="4">
        <v>36</v>
      </c>
      <c r="E9">
        <v>6643</v>
      </c>
      <c r="G9" s="3" t="s">
        <v>66</v>
      </c>
      <c r="H9" t="s">
        <v>70</v>
      </c>
    </row>
    <row r="10" spans="1:12" x14ac:dyDescent="0.3">
      <c r="A10" s="4">
        <v>42</v>
      </c>
      <c r="B10">
        <v>86</v>
      </c>
      <c r="D10" s="4">
        <v>42</v>
      </c>
      <c r="E10">
        <v>39078</v>
      </c>
      <c r="G10" s="4" t="s">
        <v>74</v>
      </c>
      <c r="H10">
        <v>192224</v>
      </c>
    </row>
    <row r="11" spans="1:12" x14ac:dyDescent="0.3">
      <c r="A11" s="4">
        <v>47</v>
      </c>
      <c r="B11">
        <v>33</v>
      </c>
      <c r="D11" s="4">
        <v>47</v>
      </c>
      <c r="E11">
        <v>28849</v>
      </c>
      <c r="G11" s="4" t="s">
        <v>67</v>
      </c>
      <c r="H11">
        <v>192224</v>
      </c>
      <c r="K11" s="3" t="s">
        <v>66</v>
      </c>
      <c r="L11" t="s">
        <v>73</v>
      </c>
    </row>
    <row r="12" spans="1:12" x14ac:dyDescent="0.3">
      <c r="A12" s="4">
        <v>49</v>
      </c>
      <c r="B12">
        <v>40</v>
      </c>
      <c r="D12" s="4">
        <v>49</v>
      </c>
      <c r="E12">
        <v>38470</v>
      </c>
      <c r="K12" s="4">
        <v>1</v>
      </c>
      <c r="L12">
        <v>91</v>
      </c>
    </row>
    <row r="13" spans="1:12" x14ac:dyDescent="0.3">
      <c r="A13" s="4" t="s">
        <v>67</v>
      </c>
      <c r="B13">
        <v>454</v>
      </c>
      <c r="D13" s="4" t="s">
        <v>67</v>
      </c>
      <c r="E13">
        <v>192224</v>
      </c>
      <c r="K13" s="4">
        <v>10</v>
      </c>
      <c r="L13">
        <v>86</v>
      </c>
    </row>
    <row r="14" spans="1:12" x14ac:dyDescent="0.3">
      <c r="K14" s="4">
        <v>15</v>
      </c>
      <c r="L14">
        <v>70</v>
      </c>
    </row>
    <row r="15" spans="1:12" x14ac:dyDescent="0.3">
      <c r="K15" s="4">
        <v>18</v>
      </c>
      <c r="L15">
        <v>88</v>
      </c>
    </row>
    <row r="16" spans="1:12" x14ac:dyDescent="0.3">
      <c r="K16" s="4">
        <v>34</v>
      </c>
      <c r="L16">
        <v>96</v>
      </c>
    </row>
    <row r="17" spans="7:12" x14ac:dyDescent="0.3">
      <c r="K17" s="4">
        <v>36</v>
      </c>
      <c r="L17">
        <v>91</v>
      </c>
    </row>
    <row r="18" spans="7:12" x14ac:dyDescent="0.3">
      <c r="K18" s="4">
        <v>42</v>
      </c>
      <c r="L18">
        <v>98</v>
      </c>
    </row>
    <row r="19" spans="7:12" x14ac:dyDescent="0.3">
      <c r="K19" s="4">
        <v>47</v>
      </c>
      <c r="L19">
        <v>87</v>
      </c>
    </row>
    <row r="20" spans="7:12" x14ac:dyDescent="0.3">
      <c r="K20" s="4">
        <v>49</v>
      </c>
      <c r="L20">
        <v>97</v>
      </c>
    </row>
    <row r="21" spans="7:12" x14ac:dyDescent="0.3">
      <c r="K21" s="4" t="s">
        <v>67</v>
      </c>
      <c r="L21">
        <v>804</v>
      </c>
    </row>
    <row r="25" spans="7:12" x14ac:dyDescent="0.3">
      <c r="G25" s="3" t="s">
        <v>66</v>
      </c>
      <c r="H25" t="s">
        <v>72</v>
      </c>
    </row>
    <row r="26" spans="7:12" x14ac:dyDescent="0.3">
      <c r="G26" s="4" t="s">
        <v>74</v>
      </c>
      <c r="H26">
        <v>9</v>
      </c>
    </row>
    <row r="27" spans="7:12" x14ac:dyDescent="0.3">
      <c r="G27" s="4" t="s">
        <v>67</v>
      </c>
      <c r="H27">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3EDA-C5D5-4B07-9D59-2556EF8972CF}">
  <dimension ref="A1"/>
  <sheetViews>
    <sheetView zoomScale="68" workbookViewId="0">
      <selection activeCell="CG1" sqref="CG1:CG1048576"/>
    </sheetView>
  </sheetViews>
  <sheetFormatPr defaultRowHeight="14.4" x14ac:dyDescent="0.3"/>
  <cols>
    <col min="1" max="1" width="12.5546875" bestFit="1" customWidth="1"/>
    <col min="2" max="2" width="18.441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SABLE PATHESINGH</dc:creator>
  <cp:lastModifiedBy>SABLE PATHESINGH</cp:lastModifiedBy>
  <dcterms:created xsi:type="dcterms:W3CDTF">2025-02-21T09:49:45Z</dcterms:created>
  <dcterms:modified xsi:type="dcterms:W3CDTF">2026-04-01T11:25:12Z</dcterms:modified>
</cp:coreProperties>
</file>